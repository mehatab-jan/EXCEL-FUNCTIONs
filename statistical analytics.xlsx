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9DAEBA05-66D7-4007-8A6F-7A7BC193B8A8}" xr6:coauthVersionLast="47" xr6:coauthVersionMax="47" xr10:uidLastSave="{00000000-0000-0000-0000-000000000000}"/>
  <bookViews>
    <workbookView xWindow="-120" yWindow="-120" windowWidth="29040" windowHeight="15720" firstSheet="1" activeTab="13" xr2:uid="{AA098DC0-EC9D-4B2A-81BD-94244602A21F}"/>
  </bookViews>
  <sheets>
    <sheet name="Sheet2" sheetId="2" r:id="rId1"/>
    <sheet name="Sheet8" sheetId="8" r:id="rId2"/>
    <sheet name="Sheet9" sheetId="9" r:id="rId3"/>
    <sheet name="Sheet10" sheetId="10" r:id="rId4"/>
    <sheet name="Sheet11" sheetId="11" r:id="rId5"/>
    <sheet name="Sheet12" sheetId="12" r:id="rId6"/>
    <sheet name="Sheet13" sheetId="13" r:id="rId7"/>
    <sheet name="Sheet14" sheetId="14" r:id="rId8"/>
    <sheet name="Sheet15" sheetId="15" r:id="rId9"/>
    <sheet name="Sheet19" sheetId="19" r:id="rId10"/>
    <sheet name="Sheet20" sheetId="20" r:id="rId11"/>
    <sheet name="Sheet21" sheetId="21" r:id="rId12"/>
    <sheet name="Sheet22" sheetId="22" r:id="rId13"/>
    <sheet name="Sheet1" sheetId="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0" l="1"/>
  <c r="B2" i="10"/>
  <c r="C3" i="9"/>
  <c r="B2" i="9"/>
</calcChain>
</file>

<file path=xl/sharedStrings.xml><?xml version="1.0" encoding="utf-8"?>
<sst xmlns="http://schemas.openxmlformats.org/spreadsheetml/2006/main" count="704" uniqueCount="98">
  <si>
    <t>RowNumber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</si>
  <si>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</si>
  <si>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</si>
  <si>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</si>
  <si>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</si>
  <si>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</si>
  <si>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</si>
  <si>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</si>
  <si>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</si>
  <si>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</si>
  <si>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</si>
  <si>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</si>
  <si>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</si>
  <si>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DIAMOND</t>
  </si>
  <si>
    <t>GOLD</t>
  </si>
  <si>
    <t>SILVER</t>
  </si>
  <si>
    <t>PLATINUM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</si>
  <si>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</si>
  <si>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</si>
  <si>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</si>
  <si>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</si>
  <si>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</si>
  <si>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</si>
  <si>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</si>
  <si>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</si>
  <si>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</si>
  <si>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</si>
  <si>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</si>
  <si>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</si>
  <si>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</si>
  <si>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</si>
  <si>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</si>
  <si>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</si>
  <si>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</si>
  <si>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</si>
  <si>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</si>
  <si>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</si>
  <si>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</si>
  <si>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</si>
  <si>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</si>
  <si>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</si>
  <si>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</si>
  <si>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</si>
  <si>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</si>
  <si>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</si>
  <si>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</si>
  <si>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</si>
  <si>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</si>
  <si>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</si>
  <si>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</si>
  <si>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</si>
  <si>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</si>
  <si>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</si>
  <si>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</si>
  <si>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</si>
  <si>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</si>
  <si>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</si>
  <si>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</si>
  <si>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</si>
  <si>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</si>
  <si>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</si>
  <si>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</si>
  <si>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</si>
  <si>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</si>
  <si>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descriptive analytics</t>
  </si>
  <si>
    <t>correlation</t>
  </si>
  <si>
    <t>SUMMARY OUTPUT</t>
  </si>
  <si>
    <t>Regression Statistics</t>
  </si>
  <si>
    <t>Multiple R</t>
  </si>
  <si>
    <t>R Square</t>
  </si>
  <si>
    <t>Adjusted R Square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</si>
  <si>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</si>
  <si>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</si>
  <si>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</si>
  <si>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</si>
  <si>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</si>
  <si>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</si>
  <si>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</si>
  <si>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</si>
  <si>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</si>
  <si>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</si>
  <si>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</si>
  <si>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RESIDUAL OUTPUT</t>
  </si>
  <si>
    <t>Observation</t>
  </si>
  <si>
    <t>Predicted 42</t>
  </si>
  <si>
    <t>Residuals</t>
  </si>
  <si>
    <t>PROBABILITY OUTPUT</t>
  </si>
  <si>
    <t>Percentile</t>
  </si>
  <si>
    <t>PRODUCT A</t>
  </si>
  <si>
    <t>PRODUCT B</t>
  </si>
  <si>
    <t>PRODUCT C</t>
  </si>
  <si>
    <t>Department</t>
  </si>
  <si>
    <t>January</t>
  </si>
  <si>
    <t>February</t>
  </si>
  <si>
    <t>March</t>
  </si>
  <si>
    <t>Sales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</si>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</sst>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22"/>
      <color rgb="FF9C5700"/>
      <name val="Calibri"/>
      <family val="2"/>
      <scheme val="minor"/>
    </font>
    <font>
      <sz val="26"/>
      <color rgb="FF9C5700"/>
      <name val="Calibri"/>
      <family val="2"/>
      <scheme val="minor"/>
    </font>
    <font>
      <sz val="24"/>
      <color rgb="FF9C0006"/>
      <name val="Calibri"/>
      <family val="2"/>
      <scheme val="minor"/>
    </font>
    <font>
      <sz val="22"/>
      <color rgb="FF00610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1" xfId="0" applyFill="1" applyBorder="1" applyAlignment="1"/>
    <xf numFmtId="0" fontId="0" fillId="33" borderId="10" xfId="0" applyFill="1" applyBorder="1" applyAlignment="1"/>
    <xf numFmtId="0" fontId="0" fillId="0" borderId="10" xfId="0" applyFill="1" applyBorder="1" applyAlignment="1"/>
    <xf numFmtId="0" fontId="19" fillId="0" borderId="13" xfId="0" applyFont="1" applyFill="1" applyBorder="1" applyAlignment="1">
      <alignment horizontal="right"/>
    </xf>
    <xf numFmtId="0" fontId="18" fillId="0" borderId="12" xfId="0" applyFont="1" applyFill="1" applyBorder="1" applyAlignment="1">
      <alignment horizontal="center"/>
    </xf>
    <xf numFmtId="0" fontId="0" fillId="0" borderId="0" xfId="0" applyFill="1" applyBorder="1" applyAlignment="1"/>
    <xf numFmtId="0" fontId="20" fillId="4" borderId="0" xfId="8" applyFont="1"/>
    <xf numFmtId="0" fontId="21" fillId="4" borderId="10" xfId="8" applyFont="1" applyBorder="1" applyAlignment="1"/>
    <xf numFmtId="0" fontId="8" fillId="4" borderId="10" xfId="8" applyBorder="1" applyAlignment="1"/>
    <xf numFmtId="0" fontId="21" fillId="4" borderId="0" xfId="8" applyFont="1"/>
    <xf numFmtId="0" fontId="0" fillId="0" borderId="0" xfId="0"/>
    <xf numFmtId="0" fontId="8" fillId="4" borderId="0" xfId="8"/>
    <xf numFmtId="0" fontId="22" fillId="3" borderId="0" xfId="7" applyFont="1"/>
    <xf numFmtId="0" fontId="6" fillId="2" borderId="0" xfId="6"/>
    <xf numFmtId="0" fontId="23" fillId="2" borderId="0" xfId="6" applyFont="1"/>
    <xf numFmtId="0" fontId="18" fillId="0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24" fillId="33" borderId="10" xfId="0" applyFont="1" applyFill="1" applyBorder="1"/>
    <xf numFmtId="0" fontId="25" fillId="33" borderId="10" xfId="0" applyFont="1" applyFill="1" applyBorder="1" applyAlignment="1">
      <alignment horizontal="center"/>
    </xf>
    <xf numFmtId="0" fontId="24" fillId="33" borderId="10" xfId="0" applyFont="1" applyFill="1" applyBorder="1" applyAlignment="1"/>
    <xf numFmtId="0" fontId="0" fillId="33" borderId="10" xfId="0" applyFill="1" applyBorder="1"/>
    <xf numFmtId="0" fontId="19" fillId="33" borderId="10" xfId="0" applyFont="1" applyFill="1" applyBorder="1" applyAlignment="1">
      <alignment horizontal="right"/>
    </xf>
    <xf numFmtId="0" fontId="18" fillId="0" borderId="12" xfId="0" applyFont="1" applyFill="1" applyBorder="1" applyAlignment="1">
      <alignment horizontal="centerContinuous"/>
    </xf>
    <xf numFmtId="0" fontId="0" fillId="0" borderId="10" xfId="0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4" borderId="10" xfId="0" applyFill="1" applyBorder="1"/>
    <xf numFmtId="0" fontId="16" fillId="0" borderId="10" xfId="0" applyFont="1" applyBorder="1" applyAlignment="1">
      <alignment horizontal="center" vertical="center" wrapText="1"/>
    </xf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16-43CF-8156-3A958164470A}"/>
            </c:ext>
          </c:extLst>
        </c:ser>
        <c:ser>
          <c:idx val="1"/>
          <c:order val="1"/>
          <c:tx>
            <c:v>Predicted 42</c:v>
          </c:tx>
          <c:spPr>
            <a:ln w="19050">
              <a:noFill/>
            </a:ln>
          </c:spPr>
          <c:xVal>
            <c:numRef>
              <c:f>Sheet1!#REF!</c:f>
            </c:numRef>
          </c:xVal>
          <c:yVal>
            <c:numRef>
              <c:f>Sheet8!$B$26:$B$43</c:f>
              <c:numCache>
                <c:formatCode>General</c:formatCode>
                <c:ptCount val="18"/>
                <c:pt idx="0">
                  <c:v>39.510614214161166</c:v>
                </c:pt>
                <c:pt idx="1">
                  <c:v>41.101472915993376</c:v>
                </c:pt>
                <c:pt idx="2">
                  <c:v>35.598181178797049</c:v>
                </c:pt>
                <c:pt idx="3">
                  <c:v>41.17884707733981</c:v>
                </c:pt>
                <c:pt idx="4">
                  <c:v>38.958472047852247</c:v>
                </c:pt>
                <c:pt idx="5">
                  <c:v>33.926570988645878</c:v>
                </c:pt>
                <c:pt idx="6">
                  <c:v>40.133145199970784</c:v>
                </c:pt>
                <c:pt idx="7">
                  <c:v>41.393798231677764</c:v>
                </c:pt>
                <c:pt idx="8">
                  <c:v>41.603341728993577</c:v>
                </c:pt>
                <c:pt idx="9">
                  <c:v>38.967656605427948</c:v>
                </c:pt>
                <c:pt idx="10">
                  <c:v>35.040977782079992</c:v>
                </c:pt>
                <c:pt idx="11">
                  <c:v>33.090765893570293</c:v>
                </c:pt>
                <c:pt idx="12">
                  <c:v>34.483774385362935</c:v>
                </c:pt>
                <c:pt idx="13">
                  <c:v>33.926570988645878</c:v>
                </c:pt>
                <c:pt idx="14">
                  <c:v>41.722740471357291</c:v>
                </c:pt>
                <c:pt idx="15">
                  <c:v>41.788530011190858</c:v>
                </c:pt>
                <c:pt idx="16">
                  <c:v>33.369367591928821</c:v>
                </c:pt>
                <c:pt idx="17">
                  <c:v>34.205172687004406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16-43CF-8156-3A9581644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149215"/>
        <c:axId val="464140095"/>
      </c:scatterChart>
      <c:valAx>
        <c:axId val="464149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4140095"/>
        <c:crosses val="autoZero"/>
        <c:crossBetween val="midCat"/>
      </c:valAx>
      <c:valAx>
        <c:axId val="464140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41492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86-4A8C-80A2-139D4589F9CF}"/>
            </c:ext>
          </c:extLst>
        </c:ser>
        <c:ser>
          <c:idx val="1"/>
          <c:order val="1"/>
          <c:tx>
            <c:v>Predicted 42</c:v>
          </c:tx>
          <c:spPr>
            <a:ln w="19050">
              <a:noFill/>
            </a:ln>
          </c:spPr>
          <c:xVal>
            <c:numRef>
              <c:f>Sheet1!#REF!</c:f>
            </c:numRef>
          </c:xVal>
          <c:yVal>
            <c:numRef>
              <c:f>Sheet8!$B$26:$B$43</c:f>
              <c:numCache>
                <c:formatCode>General</c:formatCode>
                <c:ptCount val="18"/>
                <c:pt idx="0">
                  <c:v>39.510614214161166</c:v>
                </c:pt>
                <c:pt idx="1">
                  <c:v>41.101472915993376</c:v>
                </c:pt>
                <c:pt idx="2">
                  <c:v>35.598181178797049</c:v>
                </c:pt>
                <c:pt idx="3">
                  <c:v>41.17884707733981</c:v>
                </c:pt>
                <c:pt idx="4">
                  <c:v>38.958472047852247</c:v>
                </c:pt>
                <c:pt idx="5">
                  <c:v>33.926570988645878</c:v>
                </c:pt>
                <c:pt idx="6">
                  <c:v>40.133145199970784</c:v>
                </c:pt>
                <c:pt idx="7">
                  <c:v>41.393798231677764</c:v>
                </c:pt>
                <c:pt idx="8">
                  <c:v>41.603341728993577</c:v>
                </c:pt>
                <c:pt idx="9">
                  <c:v>38.967656605427948</c:v>
                </c:pt>
                <c:pt idx="10">
                  <c:v>35.040977782079992</c:v>
                </c:pt>
                <c:pt idx="11">
                  <c:v>33.090765893570293</c:v>
                </c:pt>
                <c:pt idx="12">
                  <c:v>34.483774385362935</c:v>
                </c:pt>
                <c:pt idx="13">
                  <c:v>33.926570988645878</c:v>
                </c:pt>
                <c:pt idx="14">
                  <c:v>41.722740471357291</c:v>
                </c:pt>
                <c:pt idx="15">
                  <c:v>41.788530011190858</c:v>
                </c:pt>
                <c:pt idx="16">
                  <c:v>33.369367591928821</c:v>
                </c:pt>
                <c:pt idx="17">
                  <c:v>34.205172687004406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86-4A8C-80A2-139D4589F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96719"/>
        <c:axId val="764092879"/>
      </c:scatterChart>
      <c:valAx>
        <c:axId val="76409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4092879"/>
        <c:crosses val="autoZero"/>
        <c:crossBetween val="midCat"/>
      </c:valAx>
      <c:valAx>
        <c:axId val="764092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40967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097522965879265"/>
          <c:y val="0.28950777704511071"/>
          <c:w val="0.77178532370953634"/>
          <c:h val="0.4198078688439806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Sheet8!$E$26:$E$43</c:f>
              <c:numCache>
                <c:formatCode>General</c:formatCode>
                <c:ptCount val="18"/>
                <c:pt idx="0">
                  <c:v>2.7777777777777777</c:v>
                </c:pt>
                <c:pt idx="1">
                  <c:v>8.3333333333333321</c:v>
                </c:pt>
                <c:pt idx="2">
                  <c:v>13.888888888888889</c:v>
                </c:pt>
                <c:pt idx="3">
                  <c:v>19.444444444444443</c:v>
                </c:pt>
                <c:pt idx="4">
                  <c:v>25</c:v>
                </c:pt>
                <c:pt idx="5">
                  <c:v>30.555555555555557</c:v>
                </c:pt>
                <c:pt idx="6">
                  <c:v>36.111111111111107</c:v>
                </c:pt>
                <c:pt idx="7">
                  <c:v>41.666666666666664</c:v>
                </c:pt>
                <c:pt idx="8">
                  <c:v>47.222222222222221</c:v>
                </c:pt>
                <c:pt idx="9">
                  <c:v>52.777777777777779</c:v>
                </c:pt>
                <c:pt idx="10">
                  <c:v>58.333333333333336</c:v>
                </c:pt>
                <c:pt idx="11">
                  <c:v>63.888888888888886</c:v>
                </c:pt>
                <c:pt idx="12">
                  <c:v>69.444444444444429</c:v>
                </c:pt>
                <c:pt idx="13">
                  <c:v>74.999999999999986</c:v>
                </c:pt>
                <c:pt idx="14">
                  <c:v>80.555555555555543</c:v>
                </c:pt>
                <c:pt idx="15">
                  <c:v>86.1111111111111</c:v>
                </c:pt>
                <c:pt idx="16">
                  <c:v>91.666666666666657</c:v>
                </c:pt>
                <c:pt idx="17">
                  <c:v>97.222222222222214</c:v>
                </c:pt>
              </c:numCache>
            </c:numRef>
          </c:xVal>
          <c:yVal>
            <c:numRef>
              <c:f>Sheet8!$F$26:$F$43</c:f>
              <c:numCache>
                <c:formatCode>General</c:formatCode>
                <c:ptCount val="18"/>
                <c:pt idx="0">
                  <c:v>24</c:v>
                </c:pt>
                <c:pt idx="1">
                  <c:v>24</c:v>
                </c:pt>
                <c:pt idx="2">
                  <c:v>25</c:v>
                </c:pt>
                <c:pt idx="3">
                  <c:v>27</c:v>
                </c:pt>
                <c:pt idx="4">
                  <c:v>29</c:v>
                </c:pt>
                <c:pt idx="5">
                  <c:v>31</c:v>
                </c:pt>
                <c:pt idx="6">
                  <c:v>34</c:v>
                </c:pt>
                <c:pt idx="7">
                  <c:v>35</c:v>
                </c:pt>
                <c:pt idx="8">
                  <c:v>39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  <c:pt idx="12">
                  <c:v>44</c:v>
                </c:pt>
                <c:pt idx="13">
                  <c:v>44</c:v>
                </c:pt>
                <c:pt idx="14">
                  <c:v>45</c:v>
                </c:pt>
                <c:pt idx="15">
                  <c:v>45</c:v>
                </c:pt>
                <c:pt idx="16">
                  <c:v>50</c:v>
                </c:pt>
                <c:pt idx="17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9B-4A82-B71D-FD36917B8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99119"/>
        <c:axId val="764104879"/>
      </c:scatterChart>
      <c:valAx>
        <c:axId val="764099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4104879"/>
        <c:crosses val="autoZero"/>
        <c:crossBetween val="midCat"/>
      </c:valAx>
      <c:valAx>
        <c:axId val="764104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409911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0D3D2-925A-0F7F-5DD3-6F6BAF185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542925</xdr:colOff>
      <xdr:row>11</xdr:row>
      <xdr:rowOff>190499</xdr:rowOff>
    </xdr:from>
    <xdr:to>
      <xdr:col>16</xdr:col>
      <xdr:colOff>238125</xdr:colOff>
      <xdr:row>23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8A08DE-93BF-24F5-50A4-B122AA289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361949</xdr:colOff>
      <xdr:row>4</xdr:row>
      <xdr:rowOff>180975</xdr:rowOff>
    </xdr:from>
    <xdr:to>
      <xdr:col>24</xdr:col>
      <xdr:colOff>123825</xdr:colOff>
      <xdr:row>17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57B721-35AC-0D67-1E95-4CA406C22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3CDA-B68C-4F33-B240-D1E208B5F673}">
  <dimension ref="A1:AJ73"/>
  <sheetViews>
    <sheetView topLeftCell="N1" workbookViewId="0">
      <selection activeCell="J31" sqref="J31"/>
    </sheetView>
  </sheetViews>
  <sheetFormatPr defaultRowHeight="15" x14ac:dyDescent="0.25"/>
  <cols>
    <col min="11" max="11" width="16" customWidth="1"/>
    <col min="12" max="12" width="8.140625" customWidth="1"/>
    <col min="13" max="13" width="20" customWidth="1"/>
    <col min="14" max="14" width="12" bestFit="1" customWidth="1"/>
    <col min="15" max="15" width="11" bestFit="1" customWidth="1"/>
    <col min="16" max="16" width="12" bestFit="1" customWidth="1"/>
    <col min="17" max="17" width="11" bestFit="1" customWidth="1"/>
    <col min="18" max="18" width="12" bestFit="1" customWidth="1"/>
    <col min="19" max="19" width="9.28515625" bestFit="1" customWidth="1"/>
    <col min="21" max="21" width="6.85546875" customWidth="1"/>
    <col min="22" max="22" width="18.28515625" customWidth="1"/>
    <col min="30" max="30" width="17.5703125" customWidth="1"/>
  </cols>
  <sheetData>
    <row r="1" spans="1:36" ht="28.5" x14ac:dyDescent="0.45">
      <c r="A1" s="5" t="s">
        <v>17</v>
      </c>
      <c r="B1" s="5"/>
      <c r="C1" s="5" t="s">
        <v>18</v>
      </c>
      <c r="D1" s="5"/>
      <c r="E1" s="5" t="s">
        <v>19</v>
      </c>
      <c r="F1" s="5"/>
      <c r="G1" s="5" t="s">
        <v>20</v>
      </c>
      <c r="H1" s="5"/>
      <c r="I1" s="5" t="s">
        <v>21</v>
      </c>
      <c r="J1" s="5"/>
      <c r="K1" s="5" t="s">
        <v>22</v>
      </c>
      <c r="L1" s="5"/>
      <c r="M1" s="5" t="s">
        <v>23</v>
      </c>
      <c r="N1" s="5"/>
      <c r="O1" s="5" t="s">
        <v>24</v>
      </c>
      <c r="P1" s="5"/>
      <c r="Q1" s="5" t="s">
        <v>25</v>
      </c>
      <c r="R1" s="5"/>
      <c r="S1" s="5" t="s">
        <v>26</v>
      </c>
      <c r="T1" s="5"/>
      <c r="V1" s="15" t="s">
        <v>61</v>
      </c>
      <c r="W1" s="15"/>
      <c r="X1" s="15"/>
      <c r="Y1" s="15"/>
      <c r="Z1" s="14"/>
      <c r="AA1" s="14"/>
      <c r="AB1" s="14"/>
    </row>
    <row r="2" spans="1:36" ht="33.75" x14ac:dyDescent="0.5">
      <c r="A2" s="2"/>
      <c r="B2" s="2"/>
      <c r="C2" s="2"/>
      <c r="D2" s="2"/>
      <c r="E2" s="2"/>
      <c r="F2" s="8"/>
      <c r="G2" s="8" t="s">
        <v>64</v>
      </c>
      <c r="H2" s="8"/>
      <c r="I2" s="8"/>
      <c r="J2" s="9"/>
      <c r="K2" s="9"/>
      <c r="L2" s="2"/>
      <c r="M2" s="2"/>
      <c r="N2" s="2"/>
      <c r="O2" s="2"/>
      <c r="P2" s="2"/>
      <c r="Q2" s="2"/>
      <c r="R2" s="2"/>
      <c r="S2" s="2"/>
      <c r="T2" s="2"/>
      <c r="V2" s="11"/>
      <c r="W2" s="11"/>
      <c r="X2" s="11"/>
      <c r="Y2" s="11"/>
      <c r="Z2" s="11"/>
      <c r="AA2" s="11"/>
      <c r="AB2" s="11"/>
      <c r="AD2" s="7" t="s">
        <v>56</v>
      </c>
      <c r="AE2" s="7"/>
      <c r="AF2" s="7"/>
      <c r="AG2" s="7"/>
      <c r="AH2" s="12"/>
      <c r="AI2" s="12"/>
      <c r="AJ2" s="12"/>
    </row>
    <row r="3" spans="1:36" x14ac:dyDescent="0.25">
      <c r="A3" s="2" t="s">
        <v>27</v>
      </c>
      <c r="B3" s="2">
        <v>38</v>
      </c>
      <c r="C3" s="2" t="s">
        <v>27</v>
      </c>
      <c r="D3" s="2">
        <v>4.6842105263157894</v>
      </c>
      <c r="E3" s="2" t="s">
        <v>27</v>
      </c>
      <c r="F3" s="2">
        <v>65904.524210526317</v>
      </c>
      <c r="G3" s="2" t="s">
        <v>27</v>
      </c>
      <c r="H3" s="2">
        <v>1.8421052631578947</v>
      </c>
      <c r="I3" s="2" t="s">
        <v>27</v>
      </c>
      <c r="J3" s="2">
        <v>0.63157894736842102</v>
      </c>
      <c r="K3" s="2" t="s">
        <v>27</v>
      </c>
      <c r="L3" s="2">
        <v>0.47368421052631576</v>
      </c>
      <c r="M3" s="2" t="s">
        <v>27</v>
      </c>
      <c r="N3" s="2">
        <v>84669.688421052619</v>
      </c>
      <c r="O3" s="2" t="s">
        <v>27</v>
      </c>
      <c r="P3" s="2">
        <v>0.26315789473684209</v>
      </c>
      <c r="Q3" s="2" t="s">
        <v>27</v>
      </c>
      <c r="R3" s="2">
        <v>0.26315789473684209</v>
      </c>
      <c r="S3" s="2" t="s">
        <v>27</v>
      </c>
      <c r="T3" s="2">
        <v>3.1578947368421053</v>
      </c>
      <c r="V3" s="17" t="s">
        <v>41</v>
      </c>
      <c r="W3" s="17" t="s">
        <v>39</v>
      </c>
      <c r="X3" s="17" t="s">
        <v>38</v>
      </c>
      <c r="Y3" s="17" t="s">
        <v>43</v>
      </c>
      <c r="Z3" s="17" t="s">
        <v>44</v>
      </c>
      <c r="AA3" s="21"/>
      <c r="AB3" s="21"/>
      <c r="AD3" s="11"/>
      <c r="AE3" s="11"/>
      <c r="AF3" s="11"/>
      <c r="AG3" s="11"/>
      <c r="AH3" s="11"/>
      <c r="AI3" s="11"/>
      <c r="AJ3" s="11"/>
    </row>
    <row r="4" spans="1:36" x14ac:dyDescent="0.25">
      <c r="A4" s="2" t="s">
        <v>28</v>
      </c>
      <c r="B4" s="2">
        <v>2.1750848608840028</v>
      </c>
      <c r="C4" s="2" t="s">
        <v>28</v>
      </c>
      <c r="D4" s="2">
        <v>0.6668974669736214</v>
      </c>
      <c r="E4" s="2" t="s">
        <v>28</v>
      </c>
      <c r="F4" s="2">
        <v>15168.968236068751</v>
      </c>
      <c r="G4" s="2" t="s">
        <v>28</v>
      </c>
      <c r="H4" s="2">
        <v>0.17543859649122806</v>
      </c>
      <c r="I4" s="2" t="s">
        <v>28</v>
      </c>
      <c r="J4" s="2">
        <v>0.11369720523522561</v>
      </c>
      <c r="K4" s="2" t="s">
        <v>28</v>
      </c>
      <c r="L4" s="2">
        <v>0.11768778828946259</v>
      </c>
      <c r="M4" s="2" t="s">
        <v>28</v>
      </c>
      <c r="N4" s="2">
        <v>11544.581906116064</v>
      </c>
      <c r="O4" s="2" t="s">
        <v>28</v>
      </c>
      <c r="P4" s="2">
        <v>0.10379087338771255</v>
      </c>
      <c r="Q4" s="2" t="s">
        <v>28</v>
      </c>
      <c r="R4" s="2">
        <v>0.10379087338771255</v>
      </c>
      <c r="S4" s="2" t="s">
        <v>28</v>
      </c>
      <c r="T4" s="2">
        <v>0.24498666743454273</v>
      </c>
      <c r="V4" s="2">
        <v>41</v>
      </c>
      <c r="W4" s="2">
        <v>4</v>
      </c>
      <c r="X4" s="2">
        <v>83809.86</v>
      </c>
      <c r="Y4" s="2">
        <v>20952.465</v>
      </c>
      <c r="Z4" s="2">
        <v>1755911413.8248999</v>
      </c>
      <c r="AA4" s="21"/>
      <c r="AB4" s="21"/>
      <c r="AD4" s="21" t="s">
        <v>41</v>
      </c>
      <c r="AE4" s="21">
        <v>2</v>
      </c>
      <c r="AF4" s="21">
        <v>0</v>
      </c>
      <c r="AG4" s="21">
        <v>1</v>
      </c>
      <c r="AH4" s="21">
        <v>1</v>
      </c>
      <c r="AI4" s="21" t="s">
        <v>55</v>
      </c>
      <c r="AJ4" s="21"/>
    </row>
    <row r="5" spans="1:36" x14ac:dyDescent="0.25">
      <c r="A5" s="2" t="s">
        <v>29</v>
      </c>
      <c r="B5" s="2">
        <v>41</v>
      </c>
      <c r="C5" s="2" t="s">
        <v>29</v>
      </c>
      <c r="D5" s="2">
        <v>4</v>
      </c>
      <c r="E5" s="2" t="s">
        <v>29</v>
      </c>
      <c r="F5" s="2">
        <v>83807.86</v>
      </c>
      <c r="G5" s="2" t="s">
        <v>29</v>
      </c>
      <c r="H5" s="2">
        <v>2</v>
      </c>
      <c r="I5" s="2" t="s">
        <v>29</v>
      </c>
      <c r="J5" s="2">
        <v>1</v>
      </c>
      <c r="K5" s="2" t="s">
        <v>29</v>
      </c>
      <c r="L5" s="2">
        <v>0</v>
      </c>
      <c r="M5" s="2" t="s">
        <v>29</v>
      </c>
      <c r="N5" s="2">
        <v>79084.100000000006</v>
      </c>
      <c r="O5" s="2" t="s">
        <v>29</v>
      </c>
      <c r="P5" s="2">
        <v>0</v>
      </c>
      <c r="Q5" s="2" t="s">
        <v>29</v>
      </c>
      <c r="R5" s="2">
        <v>0</v>
      </c>
      <c r="S5" s="2" t="s">
        <v>29</v>
      </c>
      <c r="T5" s="2">
        <v>3</v>
      </c>
      <c r="V5" s="2">
        <v>42</v>
      </c>
      <c r="W5" s="2">
        <v>4</v>
      </c>
      <c r="X5" s="2">
        <v>159672.79999999999</v>
      </c>
      <c r="Y5" s="2">
        <v>39918.199999999997</v>
      </c>
      <c r="Z5" s="2">
        <v>6372573455.2266655</v>
      </c>
      <c r="AA5" s="21"/>
      <c r="AB5" s="21"/>
      <c r="AD5" s="22">
        <v>41</v>
      </c>
      <c r="AE5" s="22"/>
      <c r="AF5" s="22"/>
      <c r="AG5" s="22"/>
      <c r="AH5" s="22"/>
      <c r="AI5" s="22"/>
      <c r="AJ5" s="21"/>
    </row>
    <row r="6" spans="1:36" x14ac:dyDescent="0.25">
      <c r="A6" s="2" t="s">
        <v>30</v>
      </c>
      <c r="B6" s="2">
        <v>42</v>
      </c>
      <c r="C6" s="2" t="s">
        <v>30</v>
      </c>
      <c r="D6" s="2">
        <v>2</v>
      </c>
      <c r="E6" s="2" t="s">
        <v>30</v>
      </c>
      <c r="F6" s="2">
        <v>0</v>
      </c>
      <c r="G6" s="2" t="s">
        <v>30</v>
      </c>
      <c r="H6" s="2">
        <v>2</v>
      </c>
      <c r="I6" s="2" t="s">
        <v>30</v>
      </c>
      <c r="J6" s="2">
        <v>1</v>
      </c>
      <c r="K6" s="2" t="s">
        <v>30</v>
      </c>
      <c r="L6" s="2">
        <v>0</v>
      </c>
      <c r="M6" s="2" t="s">
        <v>30</v>
      </c>
      <c r="N6" s="2" t="e">
        <v>#N/A</v>
      </c>
      <c r="O6" s="2" t="s">
        <v>30</v>
      </c>
      <c r="P6" s="2">
        <v>0</v>
      </c>
      <c r="Q6" s="2" t="s">
        <v>30</v>
      </c>
      <c r="R6" s="2">
        <v>0</v>
      </c>
      <c r="S6" s="2" t="s">
        <v>30</v>
      </c>
      <c r="T6" s="2">
        <v>3</v>
      </c>
      <c r="V6" s="2">
        <v>39</v>
      </c>
      <c r="W6" s="2">
        <v>4</v>
      </c>
      <c r="X6" s="2">
        <v>3</v>
      </c>
      <c r="Y6" s="2">
        <v>0.75</v>
      </c>
      <c r="Z6" s="2">
        <v>0.91666666666666663</v>
      </c>
      <c r="AA6" s="21"/>
      <c r="AB6" s="21"/>
      <c r="AD6" s="2" t="s">
        <v>39</v>
      </c>
      <c r="AE6" s="2">
        <v>2</v>
      </c>
      <c r="AF6" s="2">
        <v>2</v>
      </c>
      <c r="AG6" s="2">
        <v>2</v>
      </c>
      <c r="AH6" s="2">
        <v>2</v>
      </c>
      <c r="AI6" s="2">
        <v>8</v>
      </c>
      <c r="AJ6" s="21"/>
    </row>
    <row r="7" spans="1:36" x14ac:dyDescent="0.25">
      <c r="A7" s="2" t="s">
        <v>31</v>
      </c>
      <c r="B7" s="2">
        <v>9.4809751022185935</v>
      </c>
      <c r="C7" s="2" t="s">
        <v>31</v>
      </c>
      <c r="D7" s="2">
        <v>2.9069386642412698</v>
      </c>
      <c r="E7" s="2" t="s">
        <v>31</v>
      </c>
      <c r="F7" s="2">
        <v>66119.999618802118</v>
      </c>
      <c r="G7" s="2" t="s">
        <v>31</v>
      </c>
      <c r="H7" s="2">
        <v>0.76471911290187256</v>
      </c>
      <c r="I7" s="2" t="s">
        <v>31</v>
      </c>
      <c r="J7" s="2">
        <v>0.49559462778335212</v>
      </c>
      <c r="K7" s="2" t="s">
        <v>31</v>
      </c>
      <c r="L7" s="2">
        <v>0.51298917604257699</v>
      </c>
      <c r="M7" s="2" t="s">
        <v>31</v>
      </c>
      <c r="N7" s="2">
        <v>50321.665874188089</v>
      </c>
      <c r="O7" s="2" t="s">
        <v>31</v>
      </c>
      <c r="P7" s="2">
        <v>0.45241392835886407</v>
      </c>
      <c r="Q7" s="2" t="s">
        <v>31</v>
      </c>
      <c r="R7" s="2">
        <v>0.45241392835886407</v>
      </c>
      <c r="S7" s="2" t="s">
        <v>31</v>
      </c>
      <c r="T7" s="2">
        <v>1.0678721258619788</v>
      </c>
      <c r="V7" s="2">
        <v>43</v>
      </c>
      <c r="W7" s="2">
        <v>4</v>
      </c>
      <c r="X7" s="2">
        <v>125514.82</v>
      </c>
      <c r="Y7" s="2">
        <v>31378.705000000002</v>
      </c>
      <c r="Z7" s="2">
        <v>3938157811.0547671</v>
      </c>
      <c r="AA7" s="21"/>
      <c r="AB7" s="21"/>
      <c r="AD7" s="2" t="s">
        <v>38</v>
      </c>
      <c r="AE7" s="2">
        <v>9</v>
      </c>
      <c r="AF7" s="2">
        <v>243468.65999999997</v>
      </c>
      <c r="AG7" s="2">
        <v>4</v>
      </c>
      <c r="AH7" s="2">
        <v>1</v>
      </c>
      <c r="AI7" s="2">
        <v>243482.65999999997</v>
      </c>
      <c r="AJ7" s="21"/>
    </row>
    <row r="8" spans="1:36" x14ac:dyDescent="0.25">
      <c r="A8" s="2" t="s">
        <v>32</v>
      </c>
      <c r="B8" s="2">
        <v>89.888888888888886</v>
      </c>
      <c r="C8" s="2" t="s">
        <v>32</v>
      </c>
      <c r="D8" s="2">
        <v>8.4502923976608191</v>
      </c>
      <c r="E8" s="2" t="s">
        <v>32</v>
      </c>
      <c r="F8" s="2">
        <v>4371854349.5903921</v>
      </c>
      <c r="G8" s="2" t="s">
        <v>32</v>
      </c>
      <c r="H8" s="2">
        <v>0.58479532163742698</v>
      </c>
      <c r="I8" s="2" t="s">
        <v>32</v>
      </c>
      <c r="J8" s="2">
        <v>0.24561403508771931</v>
      </c>
      <c r="K8" s="2" t="s">
        <v>32</v>
      </c>
      <c r="L8" s="2">
        <v>0.26315789473684209</v>
      </c>
      <c r="M8" s="2" t="s">
        <v>32</v>
      </c>
      <c r="N8" s="2">
        <v>2532270056.3534265</v>
      </c>
      <c r="O8" s="2" t="s">
        <v>32</v>
      </c>
      <c r="P8" s="2">
        <v>0.2046783625730994</v>
      </c>
      <c r="Q8" s="2" t="s">
        <v>32</v>
      </c>
      <c r="R8" s="2">
        <v>0.2046783625730994</v>
      </c>
      <c r="S8" s="2" t="s">
        <v>32</v>
      </c>
      <c r="T8" s="2">
        <v>1.1403508771929818</v>
      </c>
      <c r="V8" s="2">
        <v>44</v>
      </c>
      <c r="W8" s="2">
        <v>4</v>
      </c>
      <c r="X8" s="2">
        <v>113766.78</v>
      </c>
      <c r="Y8" s="2">
        <v>28441.695</v>
      </c>
      <c r="Z8" s="2">
        <v>3234885831.5054336</v>
      </c>
      <c r="AA8" s="21"/>
      <c r="AB8" s="21"/>
      <c r="AD8" s="2" t="s">
        <v>43</v>
      </c>
      <c r="AE8" s="2">
        <v>4.5</v>
      </c>
      <c r="AF8" s="2">
        <v>121734.32999999999</v>
      </c>
      <c r="AG8" s="2">
        <v>2</v>
      </c>
      <c r="AH8" s="2">
        <v>0.5</v>
      </c>
      <c r="AI8" s="2">
        <v>30435.332499999997</v>
      </c>
      <c r="AJ8" s="21"/>
    </row>
    <row r="9" spans="1:36" x14ac:dyDescent="0.25">
      <c r="A9" s="2" t="s">
        <v>33</v>
      </c>
      <c r="B9" s="2">
        <v>-0.51235765887959506</v>
      </c>
      <c r="C9" s="2" t="s">
        <v>33</v>
      </c>
      <c r="D9" s="2">
        <v>-1.2087304566586625</v>
      </c>
      <c r="E9" s="2" t="s">
        <v>33</v>
      </c>
      <c r="F9" s="2">
        <v>-2.0149667970529856</v>
      </c>
      <c r="G9" s="2" t="s">
        <v>33</v>
      </c>
      <c r="H9" s="2">
        <v>2.4417794117647049</v>
      </c>
      <c r="I9" s="2" t="s">
        <v>33</v>
      </c>
      <c r="J9" s="2">
        <v>-1.8560924369747913</v>
      </c>
      <c r="K9" s="2" t="s">
        <v>33</v>
      </c>
      <c r="L9" s="2">
        <v>-2.2352941176470589</v>
      </c>
      <c r="M9" s="2" t="s">
        <v>33</v>
      </c>
      <c r="N9" s="2">
        <v>-0.1191852738396344</v>
      </c>
      <c r="O9" s="2" t="s">
        <v>33</v>
      </c>
      <c r="P9" s="2">
        <v>-0.71848739495798331</v>
      </c>
      <c r="Q9" s="2" t="s">
        <v>33</v>
      </c>
      <c r="R9" s="2">
        <v>-0.71848739495798108</v>
      </c>
      <c r="S9" s="2" t="s">
        <v>33</v>
      </c>
      <c r="T9" s="2">
        <v>-0.28767838496345099</v>
      </c>
      <c r="V9" s="2">
        <v>50</v>
      </c>
      <c r="W9" s="2">
        <v>4</v>
      </c>
      <c r="X9" s="2">
        <v>10</v>
      </c>
      <c r="Y9" s="2">
        <v>2.5</v>
      </c>
      <c r="Z9" s="2">
        <v>9.6666666666666661</v>
      </c>
      <c r="AA9" s="21"/>
      <c r="AB9" s="21"/>
      <c r="AD9" s="2" t="s">
        <v>44</v>
      </c>
      <c r="AE9" s="2">
        <v>24.5</v>
      </c>
      <c r="AF9" s="2">
        <v>2876834253.3218002</v>
      </c>
      <c r="AG9" s="2">
        <v>2</v>
      </c>
      <c r="AH9" s="2">
        <v>0.5</v>
      </c>
      <c r="AI9" s="2">
        <v>3586407545.0478778</v>
      </c>
      <c r="AJ9" s="21"/>
    </row>
    <row r="10" spans="1:36" x14ac:dyDescent="0.25">
      <c r="A10" s="2" t="s">
        <v>34</v>
      </c>
      <c r="B10" s="2">
        <v>6.9068733666130214E-2</v>
      </c>
      <c r="C10" s="2" t="s">
        <v>34</v>
      </c>
      <c r="D10" s="2">
        <v>0.28992164842937229</v>
      </c>
      <c r="E10" s="2" t="s">
        <v>34</v>
      </c>
      <c r="F10" s="2">
        <v>5.6655118613512731E-2</v>
      </c>
      <c r="G10" s="2" t="s">
        <v>34</v>
      </c>
      <c r="H10" s="2">
        <v>1.1192114052091198</v>
      </c>
      <c r="I10" s="2" t="s">
        <v>34</v>
      </c>
      <c r="J10" s="2">
        <v>-0.59346415511871931</v>
      </c>
      <c r="K10" s="2" t="s">
        <v>34</v>
      </c>
      <c r="L10" s="2">
        <v>0.11466816876245871</v>
      </c>
      <c r="M10" s="2" t="s">
        <v>34</v>
      </c>
      <c r="N10" s="2">
        <v>0.23790139858781903</v>
      </c>
      <c r="O10" s="2" t="s">
        <v>34</v>
      </c>
      <c r="P10" s="2">
        <v>1.170193337385365</v>
      </c>
      <c r="Q10" s="2" t="s">
        <v>34</v>
      </c>
      <c r="R10" s="2">
        <v>1.1701933373853641</v>
      </c>
      <c r="S10" s="2" t="s">
        <v>34</v>
      </c>
      <c r="T10" s="2">
        <v>0.87711961107173686</v>
      </c>
      <c r="V10" s="2">
        <v>29</v>
      </c>
      <c r="W10" s="2">
        <v>4</v>
      </c>
      <c r="X10" s="2">
        <v>115055.74</v>
      </c>
      <c r="Y10" s="2">
        <v>28763.935000000001</v>
      </c>
      <c r="Z10" s="2">
        <v>3308765530.2969003</v>
      </c>
      <c r="AA10" s="21"/>
      <c r="AB10" s="21"/>
      <c r="AD10" s="2"/>
      <c r="AE10" s="2"/>
      <c r="AF10" s="2"/>
      <c r="AG10" s="2"/>
      <c r="AH10" s="2"/>
      <c r="AI10" s="2"/>
      <c r="AJ10" s="21"/>
    </row>
    <row r="11" spans="1:36" x14ac:dyDescent="0.25">
      <c r="A11" s="2" t="s">
        <v>35</v>
      </c>
      <c r="B11" s="2">
        <v>34</v>
      </c>
      <c r="C11" s="2" t="s">
        <v>35</v>
      </c>
      <c r="D11" s="2">
        <v>9</v>
      </c>
      <c r="E11" s="2" t="s">
        <v>35</v>
      </c>
      <c r="F11" s="2">
        <v>159660.79999999999</v>
      </c>
      <c r="G11" s="2" t="s">
        <v>35</v>
      </c>
      <c r="H11" s="2">
        <v>3</v>
      </c>
      <c r="I11" s="2" t="s">
        <v>35</v>
      </c>
      <c r="J11" s="2">
        <v>1</v>
      </c>
      <c r="K11" s="2" t="s">
        <v>35</v>
      </c>
      <c r="L11" s="2">
        <v>1</v>
      </c>
      <c r="M11" s="2" t="s">
        <v>35</v>
      </c>
      <c r="N11" s="2">
        <v>185760.12</v>
      </c>
      <c r="O11" s="2" t="s">
        <v>35</v>
      </c>
      <c r="P11" s="2">
        <v>1</v>
      </c>
      <c r="Q11" s="2" t="s">
        <v>35</v>
      </c>
      <c r="R11" s="2">
        <v>1</v>
      </c>
      <c r="S11" s="2" t="s">
        <v>35</v>
      </c>
      <c r="T11" s="2">
        <v>3</v>
      </c>
      <c r="V11" s="2">
        <v>44</v>
      </c>
      <c r="W11" s="2">
        <v>4</v>
      </c>
      <c r="X11" s="2">
        <v>142057.07</v>
      </c>
      <c r="Y11" s="2">
        <v>35514.267500000002</v>
      </c>
      <c r="Z11" s="2">
        <v>5044484574.6328917</v>
      </c>
      <c r="AA11" s="21"/>
      <c r="AB11" s="21"/>
      <c r="AD11" s="22">
        <v>39</v>
      </c>
      <c r="AE11" s="22"/>
      <c r="AF11" s="22"/>
      <c r="AG11" s="22"/>
      <c r="AH11" s="22"/>
      <c r="AI11" s="22"/>
      <c r="AJ11" s="21"/>
    </row>
    <row r="12" spans="1:36" x14ac:dyDescent="0.25">
      <c r="A12" s="2" t="s">
        <v>36</v>
      </c>
      <c r="B12" s="2">
        <v>24</v>
      </c>
      <c r="C12" s="2" t="s">
        <v>36</v>
      </c>
      <c r="D12" s="2">
        <v>1</v>
      </c>
      <c r="E12" s="2" t="s">
        <v>36</v>
      </c>
      <c r="F12" s="2">
        <v>0</v>
      </c>
      <c r="G12" s="2" t="s">
        <v>36</v>
      </c>
      <c r="H12" s="2">
        <v>1</v>
      </c>
      <c r="I12" s="2" t="s">
        <v>36</v>
      </c>
      <c r="J12" s="2">
        <v>0</v>
      </c>
      <c r="K12" s="2" t="s">
        <v>36</v>
      </c>
      <c r="L12" s="2">
        <v>0</v>
      </c>
      <c r="M12" s="2" t="s">
        <v>36</v>
      </c>
      <c r="N12" s="2">
        <v>5097.67</v>
      </c>
      <c r="O12" s="2" t="s">
        <v>36</v>
      </c>
      <c r="P12" s="2">
        <v>0</v>
      </c>
      <c r="Q12" s="2" t="s">
        <v>36</v>
      </c>
      <c r="R12" s="2">
        <v>0</v>
      </c>
      <c r="S12" s="2" t="s">
        <v>36</v>
      </c>
      <c r="T12" s="2">
        <v>2</v>
      </c>
      <c r="V12" s="2">
        <v>27</v>
      </c>
      <c r="W12" s="2">
        <v>4</v>
      </c>
      <c r="X12" s="2">
        <v>134607.88</v>
      </c>
      <c r="Y12" s="2">
        <v>33651.97</v>
      </c>
      <c r="Z12" s="2">
        <v>4529461392.5102663</v>
      </c>
      <c r="AA12" s="21"/>
      <c r="AB12" s="21"/>
      <c r="AD12" s="2" t="s">
        <v>39</v>
      </c>
      <c r="AE12" s="2">
        <v>2</v>
      </c>
      <c r="AF12" s="2">
        <v>2</v>
      </c>
      <c r="AG12" s="2">
        <v>2</v>
      </c>
      <c r="AH12" s="2">
        <v>2</v>
      </c>
      <c r="AI12" s="2">
        <v>8</v>
      </c>
      <c r="AJ12" s="21"/>
    </row>
    <row r="13" spans="1:36" x14ac:dyDescent="0.25">
      <c r="A13" s="2" t="s">
        <v>37</v>
      </c>
      <c r="B13" s="2">
        <v>58</v>
      </c>
      <c r="C13" s="2" t="s">
        <v>37</v>
      </c>
      <c r="D13" s="2">
        <v>10</v>
      </c>
      <c r="E13" s="2" t="s">
        <v>37</v>
      </c>
      <c r="F13" s="2">
        <v>159660.79999999999</v>
      </c>
      <c r="G13" s="2" t="s">
        <v>37</v>
      </c>
      <c r="H13" s="2">
        <v>4</v>
      </c>
      <c r="I13" s="2" t="s">
        <v>37</v>
      </c>
      <c r="J13" s="2">
        <v>1</v>
      </c>
      <c r="K13" s="2" t="s">
        <v>37</v>
      </c>
      <c r="L13" s="2">
        <v>1</v>
      </c>
      <c r="M13" s="2" t="s">
        <v>37</v>
      </c>
      <c r="N13" s="2">
        <v>190857.79</v>
      </c>
      <c r="O13" s="2" t="s">
        <v>37</v>
      </c>
      <c r="P13" s="2">
        <v>1</v>
      </c>
      <c r="Q13" s="2" t="s">
        <v>37</v>
      </c>
      <c r="R13" s="2">
        <v>1</v>
      </c>
      <c r="S13" s="2" t="s">
        <v>37</v>
      </c>
      <c r="T13" s="2">
        <v>5</v>
      </c>
      <c r="V13" s="2">
        <v>31</v>
      </c>
      <c r="W13" s="2">
        <v>4</v>
      </c>
      <c r="X13" s="2">
        <v>102024.72</v>
      </c>
      <c r="Y13" s="2">
        <v>25506.18</v>
      </c>
      <c r="Z13" s="2">
        <v>2601716775.5962672</v>
      </c>
      <c r="AA13" s="21"/>
      <c r="AB13" s="21"/>
      <c r="AD13" s="2" t="s">
        <v>38</v>
      </c>
      <c r="AE13" s="2">
        <v>3</v>
      </c>
      <c r="AF13" s="2">
        <v>125510.82</v>
      </c>
      <c r="AG13" s="2">
        <v>3</v>
      </c>
      <c r="AH13" s="2">
        <v>1</v>
      </c>
      <c r="AI13" s="2">
        <v>125517.82</v>
      </c>
      <c r="AJ13" s="21"/>
    </row>
    <row r="14" spans="1:36" x14ac:dyDescent="0.25">
      <c r="A14" s="2" t="s">
        <v>38</v>
      </c>
      <c r="B14" s="2">
        <v>722</v>
      </c>
      <c r="C14" s="2" t="s">
        <v>38</v>
      </c>
      <c r="D14" s="2">
        <v>89</v>
      </c>
      <c r="E14" s="2" t="s">
        <v>38</v>
      </c>
      <c r="F14" s="2">
        <v>1252185.96</v>
      </c>
      <c r="G14" s="2" t="s">
        <v>38</v>
      </c>
      <c r="H14" s="2">
        <v>35</v>
      </c>
      <c r="I14" s="2" t="s">
        <v>38</v>
      </c>
      <c r="J14" s="2">
        <v>12</v>
      </c>
      <c r="K14" s="2" t="s">
        <v>38</v>
      </c>
      <c r="L14" s="2">
        <v>9</v>
      </c>
      <c r="M14" s="2" t="s">
        <v>38</v>
      </c>
      <c r="N14" s="2">
        <v>1608724.0799999998</v>
      </c>
      <c r="O14" s="2" t="s">
        <v>38</v>
      </c>
      <c r="P14" s="2">
        <v>5</v>
      </c>
      <c r="Q14" s="2" t="s">
        <v>38</v>
      </c>
      <c r="R14" s="2">
        <v>5</v>
      </c>
      <c r="S14" s="2" t="s">
        <v>38</v>
      </c>
      <c r="T14" s="2">
        <v>60</v>
      </c>
      <c r="V14" s="2">
        <v>24</v>
      </c>
      <c r="W14" s="2">
        <v>4</v>
      </c>
      <c r="X14" s="2">
        <v>6</v>
      </c>
      <c r="Y14" s="2">
        <v>1.5</v>
      </c>
      <c r="Z14" s="2">
        <v>1.6666666666666667</v>
      </c>
      <c r="AA14" s="21"/>
      <c r="AB14" s="21"/>
      <c r="AD14" s="2" t="s">
        <v>43</v>
      </c>
      <c r="AE14" s="2">
        <v>1.5</v>
      </c>
      <c r="AF14" s="2">
        <v>62755.41</v>
      </c>
      <c r="AG14" s="2">
        <v>1.5</v>
      </c>
      <c r="AH14" s="2">
        <v>0.5</v>
      </c>
      <c r="AI14" s="2">
        <v>15689.727500000001</v>
      </c>
      <c r="AJ14" s="21"/>
    </row>
    <row r="15" spans="1:36" x14ac:dyDescent="0.25">
      <c r="A15" s="2" t="s">
        <v>39</v>
      </c>
      <c r="B15" s="2">
        <v>19</v>
      </c>
      <c r="C15" s="2" t="s">
        <v>39</v>
      </c>
      <c r="D15" s="2">
        <v>19</v>
      </c>
      <c r="E15" s="2" t="s">
        <v>39</v>
      </c>
      <c r="F15" s="2">
        <v>19</v>
      </c>
      <c r="G15" s="2" t="s">
        <v>39</v>
      </c>
      <c r="H15" s="2">
        <v>19</v>
      </c>
      <c r="I15" s="2" t="s">
        <v>39</v>
      </c>
      <c r="J15" s="2">
        <v>19</v>
      </c>
      <c r="K15" s="2" t="s">
        <v>39</v>
      </c>
      <c r="L15" s="2">
        <v>19</v>
      </c>
      <c r="M15" s="2" t="s">
        <v>39</v>
      </c>
      <c r="N15" s="2">
        <v>19</v>
      </c>
      <c r="O15" s="2" t="s">
        <v>39</v>
      </c>
      <c r="P15" s="2">
        <v>19</v>
      </c>
      <c r="Q15" s="2" t="s">
        <v>39</v>
      </c>
      <c r="R15" s="2">
        <v>19</v>
      </c>
      <c r="S15" s="2" t="s">
        <v>39</v>
      </c>
      <c r="T15" s="2">
        <v>19</v>
      </c>
      <c r="V15" s="2">
        <v>34</v>
      </c>
      <c r="W15" s="2">
        <v>4</v>
      </c>
      <c r="X15" s="2">
        <v>13</v>
      </c>
      <c r="Y15" s="2">
        <v>3.25</v>
      </c>
      <c r="Z15" s="2">
        <v>20.916666666666668</v>
      </c>
      <c r="AA15" s="21"/>
      <c r="AB15" s="21"/>
      <c r="AD15" s="2" t="s">
        <v>44</v>
      </c>
      <c r="AE15" s="2">
        <v>0.5</v>
      </c>
      <c r="AF15" s="2">
        <v>7876482968.5362005</v>
      </c>
      <c r="AG15" s="2">
        <v>0.5</v>
      </c>
      <c r="AH15" s="2">
        <v>0.5</v>
      </c>
      <c r="AI15" s="2">
        <v>1969089365.1254787</v>
      </c>
      <c r="AJ15" s="21"/>
    </row>
    <row r="16" spans="1:36" x14ac:dyDescent="0.25">
      <c r="V16" s="2">
        <v>25</v>
      </c>
      <c r="W16" s="2">
        <v>4</v>
      </c>
      <c r="X16" s="2">
        <v>7</v>
      </c>
      <c r="Y16" s="2">
        <v>1.75</v>
      </c>
      <c r="Z16" s="2">
        <v>5.583333333333333</v>
      </c>
      <c r="AA16" s="21"/>
      <c r="AB16" s="21"/>
      <c r="AD16" s="2"/>
      <c r="AE16" s="2"/>
      <c r="AF16" s="2"/>
      <c r="AG16" s="2"/>
      <c r="AH16" s="2"/>
      <c r="AI16" s="2"/>
      <c r="AJ16" s="21"/>
    </row>
    <row r="17" spans="1:36" x14ac:dyDescent="0.25">
      <c r="V17" s="2">
        <v>35</v>
      </c>
      <c r="W17" s="2">
        <v>4</v>
      </c>
      <c r="X17" s="2">
        <v>10</v>
      </c>
      <c r="Y17" s="2">
        <v>2.5</v>
      </c>
      <c r="Z17" s="2">
        <v>9.6666666666666661</v>
      </c>
      <c r="AA17" s="21"/>
      <c r="AB17" s="21"/>
      <c r="AD17" s="22">
        <v>44</v>
      </c>
      <c r="AE17" s="22"/>
      <c r="AF17" s="22"/>
      <c r="AG17" s="22"/>
      <c r="AH17" s="22"/>
      <c r="AI17" s="22"/>
      <c r="AJ17" s="21"/>
    </row>
    <row r="18" spans="1:36" ht="33.75" x14ac:dyDescent="0.5">
      <c r="C18" s="10"/>
      <c r="D18" s="10" t="s">
        <v>65</v>
      </c>
      <c r="E18" s="12"/>
      <c r="F18" s="12"/>
      <c r="M18" s="13" t="s">
        <v>40</v>
      </c>
      <c r="N18" s="13"/>
      <c r="O18" s="13"/>
      <c r="P18" s="13"/>
      <c r="Q18" s="13"/>
      <c r="R18" s="11"/>
      <c r="S18" s="11"/>
      <c r="V18" s="2">
        <v>45</v>
      </c>
      <c r="W18" s="2">
        <v>4</v>
      </c>
      <c r="X18" s="2">
        <v>143134.41</v>
      </c>
      <c r="Y18" s="2">
        <v>35783.602500000001</v>
      </c>
      <c r="Z18" s="2">
        <v>5121387729.4786921</v>
      </c>
      <c r="AA18" s="21"/>
      <c r="AB18" s="21"/>
      <c r="AD18" s="2" t="s">
        <v>39</v>
      </c>
      <c r="AE18" s="2">
        <v>2</v>
      </c>
      <c r="AF18" s="2">
        <v>2</v>
      </c>
      <c r="AG18" s="2">
        <v>2</v>
      </c>
      <c r="AH18" s="2">
        <v>2</v>
      </c>
      <c r="AI18" s="2">
        <v>8</v>
      </c>
      <c r="AJ18" s="21"/>
    </row>
    <row r="19" spans="1:36" x14ac:dyDescent="0.25">
      <c r="A19" s="17"/>
      <c r="B19" s="17" t="s">
        <v>1</v>
      </c>
      <c r="C19" s="17" t="s">
        <v>2</v>
      </c>
      <c r="D19" s="17" t="s">
        <v>3</v>
      </c>
      <c r="E19" s="17" t="s">
        <v>4</v>
      </c>
      <c r="F19" s="17" t="s">
        <v>5</v>
      </c>
      <c r="G19" s="17" t="s">
        <v>6</v>
      </c>
      <c r="H19" s="17" t="s">
        <v>7</v>
      </c>
      <c r="I19" s="17" t="s">
        <v>8</v>
      </c>
      <c r="J19" s="17" t="s">
        <v>9</v>
      </c>
      <c r="K19" s="17" t="s">
        <v>10</v>
      </c>
      <c r="M19" s="11"/>
      <c r="N19" s="11"/>
      <c r="O19" s="11"/>
      <c r="P19" s="11"/>
      <c r="Q19" s="11"/>
      <c r="R19" s="11"/>
      <c r="S19" s="11"/>
      <c r="V19" s="2">
        <v>58</v>
      </c>
      <c r="W19" s="2">
        <v>4</v>
      </c>
      <c r="X19" s="2">
        <v>132605.88</v>
      </c>
      <c r="Y19" s="2">
        <v>33151.47</v>
      </c>
      <c r="Z19" s="2">
        <v>4395814644.8836012</v>
      </c>
      <c r="AA19" s="21"/>
      <c r="AB19" s="21"/>
      <c r="AD19" s="2" t="s">
        <v>38</v>
      </c>
      <c r="AE19" s="2">
        <v>15</v>
      </c>
      <c r="AF19" s="2">
        <v>113755.78</v>
      </c>
      <c r="AG19" s="2">
        <v>4</v>
      </c>
      <c r="AH19" s="2">
        <v>2</v>
      </c>
      <c r="AI19" s="2">
        <v>113776.78</v>
      </c>
      <c r="AJ19" s="21"/>
    </row>
    <row r="20" spans="1:36" x14ac:dyDescent="0.25">
      <c r="A20" s="2" t="s">
        <v>1</v>
      </c>
      <c r="B20" s="2">
        <v>1</v>
      </c>
      <c r="C20" s="2"/>
      <c r="D20" s="2"/>
      <c r="E20" s="2"/>
      <c r="F20" s="2"/>
      <c r="G20" s="2"/>
      <c r="H20" s="2"/>
      <c r="I20" s="2"/>
      <c r="J20" s="2"/>
      <c r="K20" s="2"/>
      <c r="M20" s="18" t="s">
        <v>41</v>
      </c>
      <c r="N20" s="18"/>
      <c r="O20" s="18"/>
      <c r="P20" s="18"/>
      <c r="Q20" s="18"/>
      <c r="R20" s="18"/>
      <c r="S20" s="18"/>
      <c r="V20" s="2">
        <v>24</v>
      </c>
      <c r="W20" s="2">
        <v>4</v>
      </c>
      <c r="X20" s="2">
        <v>12</v>
      </c>
      <c r="Y20" s="2">
        <v>3</v>
      </c>
      <c r="Z20" s="2">
        <v>16.666666666666668</v>
      </c>
      <c r="AA20" s="21"/>
      <c r="AB20" s="21"/>
      <c r="AD20" s="2" t="s">
        <v>43</v>
      </c>
      <c r="AE20" s="2">
        <v>7.5</v>
      </c>
      <c r="AF20" s="2">
        <v>56877.89</v>
      </c>
      <c r="AG20" s="2">
        <v>2</v>
      </c>
      <c r="AH20" s="2">
        <v>1</v>
      </c>
      <c r="AI20" s="2">
        <v>14222.0975</v>
      </c>
      <c r="AJ20" s="21"/>
    </row>
    <row r="21" spans="1:36" x14ac:dyDescent="0.25">
      <c r="A21" s="2" t="s">
        <v>2</v>
      </c>
      <c r="B21" s="2">
        <v>-0.20359166506509391</v>
      </c>
      <c r="C21" s="2">
        <v>1</v>
      </c>
      <c r="D21" s="2"/>
      <c r="E21" s="2"/>
      <c r="F21" s="2"/>
      <c r="G21" s="2"/>
      <c r="H21" s="2"/>
      <c r="I21" s="2"/>
      <c r="J21" s="2"/>
      <c r="K21" s="2"/>
      <c r="M21" s="19" t="s">
        <v>42</v>
      </c>
      <c r="N21" s="19" t="s">
        <v>39</v>
      </c>
      <c r="O21" s="19" t="s">
        <v>38</v>
      </c>
      <c r="P21" s="19" t="s">
        <v>43</v>
      </c>
      <c r="Q21" s="19" t="s">
        <v>44</v>
      </c>
      <c r="R21" s="18"/>
      <c r="S21" s="18"/>
      <c r="V21" s="2">
        <v>45</v>
      </c>
      <c r="W21" s="2">
        <v>4</v>
      </c>
      <c r="X21" s="2">
        <v>7</v>
      </c>
      <c r="Y21" s="2">
        <v>1.75</v>
      </c>
      <c r="Z21" s="2">
        <v>8.25</v>
      </c>
      <c r="AA21" s="21"/>
      <c r="AB21" s="21"/>
      <c r="AD21" s="2" t="s">
        <v>44</v>
      </c>
      <c r="AE21" s="2">
        <v>0.5</v>
      </c>
      <c r="AF21" s="2">
        <v>6470188741.7041998</v>
      </c>
      <c r="AG21" s="2">
        <v>0</v>
      </c>
      <c r="AH21" s="2">
        <v>0</v>
      </c>
      <c r="AI21" s="2">
        <v>1617461878.2874787</v>
      </c>
      <c r="AJ21" s="21"/>
    </row>
    <row r="22" spans="1:36" x14ac:dyDescent="0.25">
      <c r="A22" s="2" t="s">
        <v>3</v>
      </c>
      <c r="B22" s="2">
        <v>0.30807186121398311</v>
      </c>
      <c r="C22" s="2">
        <v>-0.25194222523355125</v>
      </c>
      <c r="D22" s="2">
        <v>1</v>
      </c>
      <c r="E22" s="2"/>
      <c r="F22" s="2"/>
      <c r="G22" s="2"/>
      <c r="H22" s="2"/>
      <c r="I22" s="2"/>
      <c r="J22" s="2"/>
      <c r="K22" s="2"/>
      <c r="M22" s="20">
        <v>42</v>
      </c>
      <c r="N22" s="20">
        <v>18</v>
      </c>
      <c r="O22" s="20">
        <v>680</v>
      </c>
      <c r="P22" s="20">
        <v>37.777777777777779</v>
      </c>
      <c r="Q22" s="20">
        <v>94.183006535947612</v>
      </c>
      <c r="R22" s="18"/>
      <c r="S22" s="18"/>
      <c r="V22" s="2"/>
      <c r="W22" s="2"/>
      <c r="X22" s="2"/>
      <c r="Y22" s="2"/>
      <c r="Z22" s="2"/>
      <c r="AA22" s="21"/>
      <c r="AB22" s="21"/>
      <c r="AD22" s="2"/>
      <c r="AE22" s="2"/>
      <c r="AF22" s="2"/>
      <c r="AG22" s="2"/>
      <c r="AH22" s="2"/>
      <c r="AI22" s="2"/>
      <c r="AJ22" s="21"/>
    </row>
    <row r="23" spans="1:36" x14ac:dyDescent="0.25">
      <c r="A23" s="2" t="s">
        <v>4</v>
      </c>
      <c r="B23" s="2">
        <v>-0.32182652391571703</v>
      </c>
      <c r="C23" s="2">
        <v>0.40117690184555055</v>
      </c>
      <c r="D23" s="2">
        <v>0.12189624117806978</v>
      </c>
      <c r="E23" s="2">
        <v>1</v>
      </c>
      <c r="F23" s="2"/>
      <c r="G23" s="2"/>
      <c r="H23" s="2"/>
      <c r="I23" s="2"/>
      <c r="J23" s="2"/>
      <c r="K23" s="2"/>
      <c r="M23" s="20">
        <v>2</v>
      </c>
      <c r="N23" s="20">
        <v>18</v>
      </c>
      <c r="O23" s="20">
        <v>87</v>
      </c>
      <c r="P23" s="20">
        <v>4.833333333333333</v>
      </c>
      <c r="Q23" s="20">
        <v>8.5</v>
      </c>
      <c r="R23" s="18"/>
      <c r="S23" s="18"/>
      <c r="V23" s="2">
        <v>2</v>
      </c>
      <c r="W23" s="2">
        <v>18</v>
      </c>
      <c r="X23" s="2">
        <v>87</v>
      </c>
      <c r="Y23" s="2">
        <v>4.833333333333333</v>
      </c>
      <c r="Z23" s="2">
        <v>8.5</v>
      </c>
      <c r="AA23" s="21"/>
      <c r="AB23" s="21"/>
      <c r="AD23" s="22">
        <v>29</v>
      </c>
      <c r="AE23" s="22"/>
      <c r="AF23" s="22"/>
      <c r="AG23" s="22"/>
      <c r="AH23" s="22"/>
      <c r="AI23" s="22"/>
      <c r="AJ23" s="21"/>
    </row>
    <row r="24" spans="1:36" x14ac:dyDescent="0.25">
      <c r="A24" s="2" t="s">
        <v>5</v>
      </c>
      <c r="B24" s="2">
        <v>-4.7294200711286163E-2</v>
      </c>
      <c r="C24" s="2">
        <v>0.26181899163283451</v>
      </c>
      <c r="D24" s="2">
        <v>-1.6400110854308678E-2</v>
      </c>
      <c r="E24" s="2">
        <v>0.13115784746777806</v>
      </c>
      <c r="F24" s="2">
        <v>1</v>
      </c>
      <c r="G24" s="2"/>
      <c r="H24" s="2"/>
      <c r="I24" s="2"/>
      <c r="J24" s="2"/>
      <c r="K24" s="2"/>
      <c r="M24" s="20">
        <v>0</v>
      </c>
      <c r="N24" s="20">
        <v>18</v>
      </c>
      <c r="O24" s="20">
        <v>1252185.96</v>
      </c>
      <c r="P24" s="20">
        <v>69565.886666666658</v>
      </c>
      <c r="Q24" s="20">
        <v>4359333625.3280582</v>
      </c>
      <c r="R24" s="18"/>
      <c r="S24" s="18"/>
      <c r="V24" s="2">
        <v>0</v>
      </c>
      <c r="W24" s="2">
        <v>18</v>
      </c>
      <c r="X24" s="2">
        <v>1252185.96</v>
      </c>
      <c r="Y24" s="2">
        <v>69565.886666666658</v>
      </c>
      <c r="Z24" s="2">
        <v>4359333625.3280582</v>
      </c>
      <c r="AA24" s="21"/>
      <c r="AB24" s="21"/>
      <c r="AD24" s="2" t="s">
        <v>39</v>
      </c>
      <c r="AE24" s="2">
        <v>2</v>
      </c>
      <c r="AF24" s="2">
        <v>2</v>
      </c>
      <c r="AG24" s="2">
        <v>2</v>
      </c>
      <c r="AH24" s="2">
        <v>2</v>
      </c>
      <c r="AI24" s="2">
        <v>8</v>
      </c>
      <c r="AJ24" s="21"/>
    </row>
    <row r="25" spans="1:36" x14ac:dyDescent="0.25">
      <c r="A25" s="2" t="s">
        <v>6</v>
      </c>
      <c r="B25" s="2">
        <v>0.10280371206257223</v>
      </c>
      <c r="C25" s="2">
        <v>-0.19215686274509802</v>
      </c>
      <c r="D25" s="2">
        <v>5.8902560956946202E-2</v>
      </c>
      <c r="E25" s="2">
        <v>-0.36522443632496554</v>
      </c>
      <c r="F25" s="2">
        <v>6.9006555934235408E-2</v>
      </c>
      <c r="G25" s="2">
        <v>1</v>
      </c>
      <c r="H25" s="2"/>
      <c r="I25" s="2"/>
      <c r="J25" s="2"/>
      <c r="K25" s="2"/>
      <c r="M25" s="20">
        <v>1</v>
      </c>
      <c r="N25" s="20">
        <v>18</v>
      </c>
      <c r="O25" s="20">
        <v>34</v>
      </c>
      <c r="P25" s="20">
        <v>1.8888888888888888</v>
      </c>
      <c r="Q25" s="20">
        <v>0.57516339869281008</v>
      </c>
      <c r="R25" s="18"/>
      <c r="S25" s="18"/>
      <c r="V25" s="2">
        <v>1</v>
      </c>
      <c r="W25" s="2">
        <v>18</v>
      </c>
      <c r="X25" s="2">
        <v>34</v>
      </c>
      <c r="Y25" s="2">
        <v>1.8888888888888888</v>
      </c>
      <c r="Z25" s="2">
        <v>0.57516339869281008</v>
      </c>
      <c r="AA25" s="21"/>
      <c r="AB25" s="21"/>
      <c r="AD25" s="2" t="s">
        <v>38</v>
      </c>
      <c r="AE25" s="2">
        <v>8</v>
      </c>
      <c r="AF25" s="2">
        <v>257097.81</v>
      </c>
      <c r="AG25" s="2">
        <v>6</v>
      </c>
      <c r="AH25" s="2">
        <v>1</v>
      </c>
      <c r="AI25" s="2">
        <v>257112.81</v>
      </c>
      <c r="AJ25" s="21"/>
    </row>
    <row r="26" spans="1:36" x14ac:dyDescent="0.25">
      <c r="A26" s="2" t="s">
        <v>7</v>
      </c>
      <c r="B26" s="2">
        <v>-0.19325167593210338</v>
      </c>
      <c r="C26" s="2">
        <v>-7.5636720959146059E-2</v>
      </c>
      <c r="D26" s="2">
        <v>1.0937859439022774E-2</v>
      </c>
      <c r="E26" s="2">
        <v>0.11282439083935912</v>
      </c>
      <c r="F26" s="2">
        <v>-0.40693022608411417</v>
      </c>
      <c r="G26" s="2">
        <v>-0.36077372787146189</v>
      </c>
      <c r="H26" s="2">
        <v>1</v>
      </c>
      <c r="I26" s="2"/>
      <c r="J26" s="2"/>
      <c r="K26" s="2"/>
      <c r="M26" s="18"/>
      <c r="N26" s="18"/>
      <c r="O26" s="18"/>
      <c r="P26" s="18"/>
      <c r="Q26" s="18"/>
      <c r="R26" s="18"/>
      <c r="S26" s="18"/>
      <c r="V26" s="2">
        <v>1</v>
      </c>
      <c r="W26" s="2">
        <v>18</v>
      </c>
      <c r="X26" s="2">
        <v>11</v>
      </c>
      <c r="Y26" s="2">
        <v>0.61111111111111116</v>
      </c>
      <c r="Z26" s="2">
        <v>0.25163398692810457</v>
      </c>
      <c r="AA26" s="21"/>
      <c r="AB26" s="21"/>
      <c r="AD26" s="2" t="s">
        <v>43</v>
      </c>
      <c r="AE26" s="2">
        <v>4</v>
      </c>
      <c r="AF26" s="2">
        <v>128548.905</v>
      </c>
      <c r="AG26" s="2">
        <v>3</v>
      </c>
      <c r="AH26" s="2">
        <v>0.5</v>
      </c>
      <c r="AI26" s="2">
        <v>32139.10125</v>
      </c>
      <c r="AJ26" s="21"/>
    </row>
    <row r="27" spans="1:36" x14ac:dyDescent="0.25">
      <c r="A27" s="2" t="s">
        <v>8</v>
      </c>
      <c r="B27" s="2">
        <v>0.32380125710935354</v>
      </c>
      <c r="C27" s="2">
        <v>-1.7786563435728386E-2</v>
      </c>
      <c r="D27" s="2">
        <v>0.35573474344455569</v>
      </c>
      <c r="E27" s="2">
        <v>0.28735244660769571</v>
      </c>
      <c r="F27" s="2">
        <v>0.45643546458763851</v>
      </c>
      <c r="G27" s="2">
        <v>-0.32756920994133026</v>
      </c>
      <c r="H27" s="2">
        <v>0.16138252326177618</v>
      </c>
      <c r="I27" s="2">
        <v>1</v>
      </c>
      <c r="J27" s="2"/>
      <c r="K27" s="2"/>
      <c r="M27" s="18"/>
      <c r="N27" s="18"/>
      <c r="O27" s="18"/>
      <c r="P27" s="18"/>
      <c r="Q27" s="18"/>
      <c r="R27" s="18"/>
      <c r="S27" s="18"/>
      <c r="V27" s="21"/>
      <c r="W27" s="21"/>
      <c r="X27" s="21"/>
      <c r="Y27" s="21"/>
      <c r="Z27" s="21"/>
      <c r="AA27" s="21"/>
      <c r="AB27" s="21"/>
      <c r="AD27" s="2" t="s">
        <v>44</v>
      </c>
      <c r="AE27" s="2">
        <v>0</v>
      </c>
      <c r="AF27" s="2">
        <v>364616919.3744545</v>
      </c>
      <c r="AG27" s="2">
        <v>2</v>
      </c>
      <c r="AH27" s="2">
        <v>0.5</v>
      </c>
      <c r="AI27" s="2">
        <v>3592983470.3586416</v>
      </c>
      <c r="AJ27" s="21"/>
    </row>
    <row r="28" spans="1:36" x14ac:dyDescent="0.25">
      <c r="A28" s="2" t="s">
        <v>9</v>
      </c>
      <c r="B28" s="2">
        <v>0.10361640227499319</v>
      </c>
      <c r="C28" s="2">
        <v>-1.778656343572833E-2</v>
      </c>
      <c r="D28" s="2">
        <v>0.26511263010375002</v>
      </c>
      <c r="E28" s="2">
        <v>0.28735244660769543</v>
      </c>
      <c r="F28" s="2">
        <v>0.20865621238292054</v>
      </c>
      <c r="G28" s="2">
        <v>-8.8191710368819676E-2</v>
      </c>
      <c r="H28" s="2">
        <v>0.42357629107971895</v>
      </c>
      <c r="I28" s="2">
        <v>0.72857142857142865</v>
      </c>
      <c r="J28" s="2">
        <v>1</v>
      </c>
      <c r="K28" s="2"/>
      <c r="M28" s="18" t="s">
        <v>45</v>
      </c>
      <c r="N28" s="18"/>
      <c r="O28" s="18"/>
      <c r="P28" s="18"/>
      <c r="Q28" s="18"/>
      <c r="R28" s="18"/>
      <c r="S28" s="18"/>
      <c r="V28" s="21"/>
      <c r="W28" s="21"/>
      <c r="X28" s="21"/>
      <c r="Y28" s="21"/>
      <c r="Z28" s="21"/>
      <c r="AA28" s="21"/>
      <c r="AB28" s="21"/>
      <c r="AD28" s="2"/>
      <c r="AE28" s="2"/>
      <c r="AF28" s="2"/>
      <c r="AG28" s="2"/>
      <c r="AH28" s="2"/>
      <c r="AI28" s="2"/>
      <c r="AJ28" s="21"/>
    </row>
    <row r="29" spans="1:36" x14ac:dyDescent="0.25">
      <c r="A29" s="2" t="s">
        <v>10</v>
      </c>
      <c r="B29" s="2">
        <v>7.6821586878817433E-2</v>
      </c>
      <c r="C29" s="2">
        <v>-0.12621866241106869</v>
      </c>
      <c r="D29" s="2">
        <v>0.25133299654442393</v>
      </c>
      <c r="E29" s="2">
        <v>-0.10383665673571769</v>
      </c>
      <c r="F29" s="2">
        <v>-0.30387204106040644</v>
      </c>
      <c r="G29" s="2">
        <v>-4.2700841014689885E-2</v>
      </c>
      <c r="H29" s="2">
        <v>0.22555536038941484</v>
      </c>
      <c r="I29" s="2">
        <v>-0.20577736110739278</v>
      </c>
      <c r="J29" s="2">
        <v>-9.0784129900320309E-2</v>
      </c>
      <c r="K29" s="2">
        <v>1</v>
      </c>
      <c r="M29" s="19" t="s">
        <v>46</v>
      </c>
      <c r="N29" s="19" t="s">
        <v>47</v>
      </c>
      <c r="O29" s="19" t="s">
        <v>48</v>
      </c>
      <c r="P29" s="19" t="s">
        <v>49</v>
      </c>
      <c r="Q29" s="19" t="s">
        <v>50</v>
      </c>
      <c r="R29" s="19" t="s">
        <v>51</v>
      </c>
      <c r="S29" s="19" t="s">
        <v>52</v>
      </c>
      <c r="V29" s="21" t="s">
        <v>45</v>
      </c>
      <c r="W29" s="21"/>
      <c r="X29" s="21"/>
      <c r="Y29" s="21"/>
      <c r="Z29" s="21"/>
      <c r="AA29" s="21"/>
      <c r="AB29" s="21"/>
      <c r="AD29" s="22">
        <v>27</v>
      </c>
      <c r="AE29" s="22"/>
      <c r="AF29" s="22"/>
      <c r="AG29" s="22"/>
      <c r="AH29" s="22"/>
      <c r="AI29" s="22"/>
      <c r="AJ29" s="21"/>
    </row>
    <row r="30" spans="1:36" x14ac:dyDescent="0.25">
      <c r="M30" s="20" t="s">
        <v>53</v>
      </c>
      <c r="N30" s="20">
        <v>65304226059.089508</v>
      </c>
      <c r="O30" s="20">
        <v>3</v>
      </c>
      <c r="P30" s="20">
        <v>21768075353.029835</v>
      </c>
      <c r="Q30" s="20">
        <v>19.973763614642468</v>
      </c>
      <c r="R30" s="20">
        <v>2.1596512669142211E-9</v>
      </c>
      <c r="S30" s="20">
        <v>2.7395023019660094</v>
      </c>
      <c r="V30" s="17" t="s">
        <v>46</v>
      </c>
      <c r="W30" s="17" t="s">
        <v>47</v>
      </c>
      <c r="X30" s="17" t="s">
        <v>48</v>
      </c>
      <c r="Y30" s="17" t="s">
        <v>49</v>
      </c>
      <c r="Z30" s="17" t="s">
        <v>50</v>
      </c>
      <c r="AA30" s="17" t="s">
        <v>51</v>
      </c>
      <c r="AB30" s="17" t="s">
        <v>52</v>
      </c>
      <c r="AD30" s="2" t="s">
        <v>39</v>
      </c>
      <c r="AE30" s="2">
        <v>2</v>
      </c>
      <c r="AF30" s="2">
        <v>2</v>
      </c>
      <c r="AG30" s="2">
        <v>2</v>
      </c>
      <c r="AH30" s="2">
        <v>2</v>
      </c>
      <c r="AI30" s="2">
        <v>8</v>
      </c>
      <c r="AJ30" s="21"/>
    </row>
    <row r="31" spans="1:36" x14ac:dyDescent="0.25">
      <c r="M31" s="20" t="s">
        <v>54</v>
      </c>
      <c r="N31" s="20">
        <v>74108673385.965912</v>
      </c>
      <c r="O31" s="20">
        <v>68</v>
      </c>
      <c r="P31" s="20">
        <v>1089833432.1465576</v>
      </c>
      <c r="Q31" s="20"/>
      <c r="R31" s="20"/>
      <c r="S31" s="20"/>
      <c r="V31" s="2" t="s">
        <v>62</v>
      </c>
      <c r="W31" s="2">
        <v>18526672927.239304</v>
      </c>
      <c r="X31" s="2">
        <v>17</v>
      </c>
      <c r="Y31" s="2">
        <v>1089804289.8376062</v>
      </c>
      <c r="Z31" s="2">
        <v>0.99996437551336959</v>
      </c>
      <c r="AA31" s="2">
        <v>0.4735873280832007</v>
      </c>
      <c r="AB31" s="2">
        <v>1.8271469953044308</v>
      </c>
      <c r="AD31" s="2" t="s">
        <v>38</v>
      </c>
      <c r="AE31" s="2">
        <v>8</v>
      </c>
      <c r="AF31" s="2">
        <v>236620.6</v>
      </c>
      <c r="AG31" s="2">
        <v>3</v>
      </c>
      <c r="AH31" s="2">
        <v>1</v>
      </c>
      <c r="AI31" s="2">
        <v>236632.6</v>
      </c>
      <c r="AJ31" s="21"/>
    </row>
    <row r="32" spans="1:36" x14ac:dyDescent="0.25">
      <c r="M32" s="20"/>
      <c r="N32" s="20"/>
      <c r="O32" s="20"/>
      <c r="P32" s="20"/>
      <c r="Q32" s="20"/>
      <c r="R32" s="20"/>
      <c r="S32" s="20"/>
      <c r="V32" s="2" t="s">
        <v>58</v>
      </c>
      <c r="W32" s="2">
        <v>65327478835.137909</v>
      </c>
      <c r="X32" s="2">
        <v>3</v>
      </c>
      <c r="Y32" s="2">
        <v>21775826278.379303</v>
      </c>
      <c r="Z32" s="2">
        <v>19.980698120569819</v>
      </c>
      <c r="AA32" s="2">
        <v>1.0671964758707582E-8</v>
      </c>
      <c r="AB32" s="2">
        <v>2.7862288131467707</v>
      </c>
      <c r="AD32" s="2" t="s">
        <v>43</v>
      </c>
      <c r="AE32" s="2">
        <v>4</v>
      </c>
      <c r="AF32" s="2">
        <v>118310.3</v>
      </c>
      <c r="AG32" s="2">
        <v>1.5</v>
      </c>
      <c r="AH32" s="2">
        <v>0.5</v>
      </c>
      <c r="AI32" s="2">
        <v>29579.075000000001</v>
      </c>
      <c r="AJ32" s="21"/>
    </row>
    <row r="33" spans="13:36" x14ac:dyDescent="0.25">
      <c r="M33" s="20" t="s">
        <v>55</v>
      </c>
      <c r="N33" s="20">
        <v>139412899445.05542</v>
      </c>
      <c r="O33" s="20">
        <v>71</v>
      </c>
      <c r="P33" s="20"/>
      <c r="Q33" s="20"/>
      <c r="R33" s="20"/>
      <c r="S33" s="20"/>
      <c r="V33" s="2" t="s">
        <v>63</v>
      </c>
      <c r="W33" s="2">
        <v>55581998861.893265</v>
      </c>
      <c r="X33" s="2">
        <v>51</v>
      </c>
      <c r="Y33" s="2">
        <v>1089843114.9390836</v>
      </c>
      <c r="Z33" s="2"/>
      <c r="AA33" s="2"/>
      <c r="AB33" s="2"/>
      <c r="AD33" s="2" t="s">
        <v>44</v>
      </c>
      <c r="AE33" s="2">
        <v>8</v>
      </c>
      <c r="AF33" s="2">
        <v>530961498.43280029</v>
      </c>
      <c r="AG33" s="2">
        <v>0.5</v>
      </c>
      <c r="AH33" s="2">
        <v>0.5</v>
      </c>
      <c r="AI33" s="2">
        <v>3075177470.5382571</v>
      </c>
      <c r="AJ33" s="21"/>
    </row>
    <row r="34" spans="13:36" x14ac:dyDescent="0.25">
      <c r="V34" s="2"/>
      <c r="W34" s="2"/>
      <c r="X34" s="2"/>
      <c r="Y34" s="2"/>
      <c r="Z34" s="2"/>
      <c r="AA34" s="2"/>
      <c r="AB34" s="2"/>
      <c r="AD34" s="2"/>
      <c r="AE34" s="2"/>
      <c r="AF34" s="2"/>
      <c r="AG34" s="2"/>
      <c r="AH34" s="2"/>
      <c r="AI34" s="2"/>
      <c r="AJ34" s="21"/>
    </row>
    <row r="35" spans="13:36" x14ac:dyDescent="0.25">
      <c r="V35" s="2" t="s">
        <v>55</v>
      </c>
      <c r="W35" s="2">
        <v>139436150624.27048</v>
      </c>
      <c r="X35" s="2">
        <v>71</v>
      </c>
      <c r="Y35" s="2"/>
      <c r="Z35" s="2"/>
      <c r="AA35" s="2"/>
      <c r="AB35" s="2"/>
      <c r="AD35" s="22">
        <v>24</v>
      </c>
      <c r="AE35" s="22"/>
      <c r="AF35" s="22"/>
      <c r="AG35" s="22"/>
      <c r="AH35" s="22"/>
      <c r="AI35" s="22"/>
      <c r="AJ35" s="21"/>
    </row>
    <row r="36" spans="13:36" x14ac:dyDescent="0.25">
      <c r="AD36" s="2" t="s">
        <v>39</v>
      </c>
      <c r="AE36" s="2">
        <v>2</v>
      </c>
      <c r="AF36" s="2">
        <v>2</v>
      </c>
      <c r="AG36" s="2">
        <v>2</v>
      </c>
      <c r="AH36" s="2">
        <v>2</v>
      </c>
      <c r="AI36" s="2">
        <v>8</v>
      </c>
      <c r="AJ36" s="21"/>
    </row>
    <row r="37" spans="13:36" x14ac:dyDescent="0.25">
      <c r="AD37" s="2" t="s">
        <v>38</v>
      </c>
      <c r="AE37" s="2">
        <v>13</v>
      </c>
      <c r="AF37" s="2">
        <v>0</v>
      </c>
      <c r="AG37" s="2">
        <v>4</v>
      </c>
      <c r="AH37" s="2">
        <v>2</v>
      </c>
      <c r="AI37" s="2">
        <v>19</v>
      </c>
      <c r="AJ37" s="21"/>
    </row>
    <row r="38" spans="13:36" x14ac:dyDescent="0.25">
      <c r="AD38" s="2" t="s">
        <v>43</v>
      </c>
      <c r="AE38" s="2">
        <v>6.5</v>
      </c>
      <c r="AF38" s="2">
        <v>0</v>
      </c>
      <c r="AG38" s="2">
        <v>2</v>
      </c>
      <c r="AH38" s="2">
        <v>1</v>
      </c>
      <c r="AI38" s="2">
        <v>2.375</v>
      </c>
      <c r="AJ38" s="21"/>
    </row>
    <row r="39" spans="13:36" x14ac:dyDescent="0.25">
      <c r="AD39" s="2" t="s">
        <v>44</v>
      </c>
      <c r="AE39" s="2">
        <v>24.5</v>
      </c>
      <c r="AF39" s="2">
        <v>0</v>
      </c>
      <c r="AG39" s="2">
        <v>0</v>
      </c>
      <c r="AH39" s="2">
        <v>0</v>
      </c>
      <c r="AI39" s="2">
        <v>10.553571428571429</v>
      </c>
      <c r="AJ39" s="21"/>
    </row>
    <row r="40" spans="13:36" x14ac:dyDescent="0.25">
      <c r="AD40" s="2"/>
      <c r="AE40" s="2"/>
      <c r="AF40" s="2"/>
      <c r="AG40" s="2"/>
      <c r="AH40" s="2"/>
      <c r="AI40" s="2"/>
      <c r="AJ40" s="21"/>
    </row>
    <row r="41" spans="13:36" x14ac:dyDescent="0.25">
      <c r="AD41" s="22">
        <v>25</v>
      </c>
      <c r="AE41" s="22"/>
      <c r="AF41" s="22"/>
      <c r="AG41" s="22"/>
      <c r="AH41" s="22"/>
      <c r="AI41" s="22"/>
      <c r="AJ41" s="21"/>
    </row>
    <row r="42" spans="13:36" x14ac:dyDescent="0.25">
      <c r="AD42" s="2" t="s">
        <v>39</v>
      </c>
      <c r="AE42" s="2">
        <v>2</v>
      </c>
      <c r="AF42" s="2">
        <v>2</v>
      </c>
      <c r="AG42" s="2">
        <v>2</v>
      </c>
      <c r="AH42" s="2">
        <v>2</v>
      </c>
      <c r="AI42" s="2">
        <v>8</v>
      </c>
      <c r="AJ42" s="21"/>
    </row>
    <row r="43" spans="13:36" x14ac:dyDescent="0.25">
      <c r="AD43" s="2" t="s">
        <v>38</v>
      </c>
      <c r="AE43" s="2">
        <v>12</v>
      </c>
      <c r="AF43" s="2">
        <v>0</v>
      </c>
      <c r="AG43" s="2">
        <v>4</v>
      </c>
      <c r="AH43" s="2">
        <v>1</v>
      </c>
      <c r="AI43" s="2">
        <v>17</v>
      </c>
      <c r="AJ43" s="21"/>
    </row>
    <row r="44" spans="13:36" x14ac:dyDescent="0.25">
      <c r="AD44" s="2" t="s">
        <v>43</v>
      </c>
      <c r="AE44" s="2">
        <v>6</v>
      </c>
      <c r="AF44" s="2">
        <v>0</v>
      </c>
      <c r="AG44" s="2">
        <v>2</v>
      </c>
      <c r="AH44" s="2">
        <v>0.5</v>
      </c>
      <c r="AI44" s="2">
        <v>2.125</v>
      </c>
      <c r="AJ44" s="21"/>
    </row>
    <row r="45" spans="13:36" x14ac:dyDescent="0.25">
      <c r="AD45" s="2" t="s">
        <v>44</v>
      </c>
      <c r="AE45" s="2">
        <v>2</v>
      </c>
      <c r="AF45" s="2">
        <v>0</v>
      </c>
      <c r="AG45" s="2">
        <v>0</v>
      </c>
      <c r="AH45" s="2">
        <v>0.5</v>
      </c>
      <c r="AI45" s="2">
        <v>6.6964285714285712</v>
      </c>
      <c r="AJ45" s="21"/>
    </row>
    <row r="46" spans="13:36" x14ac:dyDescent="0.25">
      <c r="AD46" s="2"/>
      <c r="AE46" s="2"/>
      <c r="AF46" s="2"/>
      <c r="AG46" s="2"/>
      <c r="AH46" s="2"/>
      <c r="AI46" s="2"/>
      <c r="AJ46" s="21"/>
    </row>
    <row r="47" spans="13:36" x14ac:dyDescent="0.25">
      <c r="AD47" s="22">
        <v>45</v>
      </c>
      <c r="AE47" s="22"/>
      <c r="AF47" s="22"/>
      <c r="AG47" s="22"/>
      <c r="AH47" s="22"/>
      <c r="AI47" s="22"/>
      <c r="AJ47" s="21"/>
    </row>
    <row r="48" spans="13:36" x14ac:dyDescent="0.25">
      <c r="AD48" s="2" t="s">
        <v>39</v>
      </c>
      <c r="AE48" s="2">
        <v>2</v>
      </c>
      <c r="AF48" s="2">
        <v>2</v>
      </c>
      <c r="AG48" s="2">
        <v>2</v>
      </c>
      <c r="AH48" s="2">
        <v>2</v>
      </c>
      <c r="AI48" s="2">
        <v>8</v>
      </c>
      <c r="AJ48" s="21"/>
    </row>
    <row r="49" spans="30:36" x14ac:dyDescent="0.25">
      <c r="AD49" s="2" t="s">
        <v>38</v>
      </c>
      <c r="AE49" s="2">
        <v>4</v>
      </c>
      <c r="AF49" s="2">
        <v>275732.29000000004</v>
      </c>
      <c r="AG49" s="2">
        <v>3</v>
      </c>
      <c r="AH49" s="2">
        <v>1</v>
      </c>
      <c r="AI49" s="2">
        <v>275740.29000000004</v>
      </c>
      <c r="AJ49" s="21"/>
    </row>
    <row r="50" spans="30:36" x14ac:dyDescent="0.25">
      <c r="AD50" s="2" t="s">
        <v>43</v>
      </c>
      <c r="AE50" s="2">
        <v>2</v>
      </c>
      <c r="AF50" s="2">
        <v>137866.14500000002</v>
      </c>
      <c r="AG50" s="2">
        <v>1.5</v>
      </c>
      <c r="AH50" s="2">
        <v>0.5</v>
      </c>
      <c r="AI50" s="2">
        <v>34467.536250000005</v>
      </c>
      <c r="AJ50" s="21"/>
    </row>
    <row r="51" spans="30:36" x14ac:dyDescent="0.25">
      <c r="AD51" s="2" t="s">
        <v>44</v>
      </c>
      <c r="AE51" s="2">
        <v>2</v>
      </c>
      <c r="AF51" s="2">
        <v>55403916.920449987</v>
      </c>
      <c r="AG51" s="2">
        <v>0.5</v>
      </c>
      <c r="AH51" s="2">
        <v>0.5</v>
      </c>
      <c r="AI51" s="2">
        <v>4080780480.868856</v>
      </c>
      <c r="AJ51" s="21"/>
    </row>
    <row r="52" spans="30:36" x14ac:dyDescent="0.25">
      <c r="AD52" s="2"/>
      <c r="AE52" s="2"/>
      <c r="AF52" s="2"/>
      <c r="AG52" s="2"/>
      <c r="AH52" s="2"/>
      <c r="AI52" s="2"/>
      <c r="AJ52" s="21"/>
    </row>
    <row r="53" spans="30:36" x14ac:dyDescent="0.25">
      <c r="AD53" s="22">
        <v>24</v>
      </c>
      <c r="AE53" s="22"/>
      <c r="AF53" s="22"/>
      <c r="AG53" s="22"/>
      <c r="AH53" s="22"/>
      <c r="AI53" s="22"/>
      <c r="AJ53" s="21"/>
    </row>
    <row r="54" spans="30:36" x14ac:dyDescent="0.25">
      <c r="AD54" s="2" t="s">
        <v>39</v>
      </c>
      <c r="AE54" s="2">
        <v>2</v>
      </c>
      <c r="AF54" s="2">
        <v>2</v>
      </c>
      <c r="AG54" s="2">
        <v>2</v>
      </c>
      <c r="AH54" s="2">
        <v>2</v>
      </c>
      <c r="AI54" s="2">
        <v>8</v>
      </c>
      <c r="AJ54" s="21"/>
    </row>
    <row r="55" spans="30:36" x14ac:dyDescent="0.25">
      <c r="AD55" s="2" t="s">
        <v>38</v>
      </c>
      <c r="AE55" s="2">
        <v>15</v>
      </c>
      <c r="AF55" s="2">
        <v>0</v>
      </c>
      <c r="AG55" s="2">
        <v>3</v>
      </c>
      <c r="AH55" s="2">
        <v>1</v>
      </c>
      <c r="AI55" s="2">
        <v>19</v>
      </c>
      <c r="AJ55" s="21"/>
    </row>
    <row r="56" spans="30:36" x14ac:dyDescent="0.25">
      <c r="AD56" s="2" t="s">
        <v>43</v>
      </c>
      <c r="AE56" s="2">
        <v>7.5</v>
      </c>
      <c r="AF56" s="2">
        <v>0</v>
      </c>
      <c r="AG56" s="2">
        <v>1.5</v>
      </c>
      <c r="AH56" s="2">
        <v>0.5</v>
      </c>
      <c r="AI56" s="2">
        <v>2.375</v>
      </c>
      <c r="AJ56" s="21"/>
    </row>
    <row r="57" spans="30:36" x14ac:dyDescent="0.25">
      <c r="AD57" s="2" t="s">
        <v>44</v>
      </c>
      <c r="AE57" s="2">
        <v>4.5</v>
      </c>
      <c r="AF57" s="2">
        <v>0</v>
      </c>
      <c r="AG57" s="2">
        <v>0.5</v>
      </c>
      <c r="AH57" s="2">
        <v>0.5</v>
      </c>
      <c r="AI57" s="2">
        <v>11.125</v>
      </c>
      <c r="AJ57" s="21"/>
    </row>
    <row r="58" spans="30:36" x14ac:dyDescent="0.25">
      <c r="AD58" s="2"/>
      <c r="AE58" s="2"/>
      <c r="AF58" s="2"/>
      <c r="AG58" s="2"/>
      <c r="AH58" s="2"/>
      <c r="AI58" s="2"/>
      <c r="AJ58" s="21"/>
    </row>
    <row r="59" spans="30:36" x14ac:dyDescent="0.25">
      <c r="AD59" s="22" t="s">
        <v>55</v>
      </c>
      <c r="AE59" s="22"/>
      <c r="AF59" s="22"/>
      <c r="AG59" s="22"/>
      <c r="AH59" s="22"/>
      <c r="AI59" s="22"/>
      <c r="AJ59" s="22"/>
    </row>
    <row r="60" spans="30:36" x14ac:dyDescent="0.25">
      <c r="AD60" s="2" t="s">
        <v>39</v>
      </c>
      <c r="AE60" s="2">
        <v>18</v>
      </c>
      <c r="AF60" s="2">
        <v>18</v>
      </c>
      <c r="AG60" s="2">
        <v>18</v>
      </c>
      <c r="AH60" s="2">
        <v>18</v>
      </c>
      <c r="AI60" s="2"/>
      <c r="AJ60" s="2"/>
    </row>
    <row r="61" spans="30:36" x14ac:dyDescent="0.25">
      <c r="AD61" s="2" t="s">
        <v>38</v>
      </c>
      <c r="AE61" s="2">
        <v>87</v>
      </c>
      <c r="AF61" s="2">
        <v>1252185.96</v>
      </c>
      <c r="AG61" s="2">
        <v>34</v>
      </c>
      <c r="AH61" s="2">
        <v>11</v>
      </c>
      <c r="AI61" s="2"/>
      <c r="AJ61" s="2"/>
    </row>
    <row r="62" spans="30:36" x14ac:dyDescent="0.25">
      <c r="AD62" s="2" t="s">
        <v>43</v>
      </c>
      <c r="AE62" s="2">
        <v>4.833333333333333</v>
      </c>
      <c r="AF62" s="2">
        <v>69565.886666666658</v>
      </c>
      <c r="AG62" s="2">
        <v>1.8888888888888888</v>
      </c>
      <c r="AH62" s="2">
        <v>0.61111111111111116</v>
      </c>
      <c r="AI62" s="2"/>
      <c r="AJ62" s="2"/>
    </row>
    <row r="63" spans="30:36" x14ac:dyDescent="0.25">
      <c r="AD63" s="2" t="s">
        <v>44</v>
      </c>
      <c r="AE63" s="2">
        <v>8.5</v>
      </c>
      <c r="AF63" s="2">
        <v>4359333625.3280582</v>
      </c>
      <c r="AG63" s="2">
        <v>0.57516339869281008</v>
      </c>
      <c r="AH63" s="2">
        <v>0.25163398692810457</v>
      </c>
      <c r="AI63" s="2"/>
      <c r="AJ63" s="2"/>
    </row>
    <row r="64" spans="30:36" x14ac:dyDescent="0.25">
      <c r="AD64" s="2"/>
      <c r="AE64" s="2"/>
      <c r="AF64" s="2"/>
      <c r="AG64" s="2"/>
      <c r="AH64" s="2"/>
      <c r="AI64" s="2"/>
      <c r="AJ64" s="2"/>
    </row>
    <row r="65" spans="30:36" x14ac:dyDescent="0.25">
      <c r="AD65" s="21"/>
      <c r="AE65" s="21"/>
      <c r="AF65" s="21"/>
      <c r="AG65" s="21"/>
      <c r="AH65" s="21"/>
      <c r="AI65" s="21"/>
      <c r="AJ65" s="21"/>
    </row>
    <row r="66" spans="30:36" x14ac:dyDescent="0.25">
      <c r="AD66" s="21" t="s">
        <v>45</v>
      </c>
      <c r="AE66" s="21"/>
      <c r="AF66" s="21"/>
      <c r="AG66" s="21"/>
      <c r="AH66" s="21"/>
      <c r="AI66" s="21"/>
      <c r="AJ66" s="21"/>
    </row>
    <row r="67" spans="30:36" x14ac:dyDescent="0.25">
      <c r="AD67" s="17" t="s">
        <v>46</v>
      </c>
      <c r="AE67" s="17" t="s">
        <v>47</v>
      </c>
      <c r="AF67" s="17" t="s">
        <v>48</v>
      </c>
      <c r="AG67" s="17" t="s">
        <v>49</v>
      </c>
      <c r="AH67" s="17" t="s">
        <v>50</v>
      </c>
      <c r="AI67" s="17" t="s">
        <v>51</v>
      </c>
      <c r="AJ67" s="17" t="s">
        <v>52</v>
      </c>
    </row>
    <row r="68" spans="30:36" x14ac:dyDescent="0.25">
      <c r="AD68" s="2" t="s">
        <v>57</v>
      </c>
      <c r="AE68" s="2">
        <v>13982848954.059357</v>
      </c>
      <c r="AF68" s="2">
        <v>8</v>
      </c>
      <c r="AG68" s="2">
        <v>1747856119.2574196</v>
      </c>
      <c r="AH68" s="2">
        <v>3.4621508455929555</v>
      </c>
      <c r="AI68" s="2">
        <v>4.669109989321029E-3</v>
      </c>
      <c r="AJ68" s="2">
        <v>2.2085180743346684</v>
      </c>
    </row>
    <row r="69" spans="30:36" x14ac:dyDescent="0.25">
      <c r="AD69" s="2" t="s">
        <v>58</v>
      </c>
      <c r="AE69" s="2">
        <v>65327478835.137909</v>
      </c>
      <c r="AF69" s="2">
        <v>3</v>
      </c>
      <c r="AG69" s="2">
        <v>21775826278.379303</v>
      </c>
      <c r="AH69" s="2">
        <v>43.13352485512727</v>
      </c>
      <c r="AI69" s="2">
        <v>5.2311815742596407E-12</v>
      </c>
      <c r="AJ69" s="2">
        <v>2.8662655509401795</v>
      </c>
    </row>
    <row r="70" spans="30:36" x14ac:dyDescent="0.25">
      <c r="AD70" s="2" t="s">
        <v>59</v>
      </c>
      <c r="AE70" s="2">
        <v>41951334460.78331</v>
      </c>
      <c r="AF70" s="2">
        <v>24</v>
      </c>
      <c r="AG70" s="2">
        <v>1747972269.1993046</v>
      </c>
      <c r="AH70" s="2">
        <v>3.4623809152280254</v>
      </c>
      <c r="AI70" s="2">
        <v>3.8583346540703629E-4</v>
      </c>
      <c r="AJ70" s="2">
        <v>1.8242133811148136</v>
      </c>
    </row>
    <row r="71" spans="30:36" x14ac:dyDescent="0.25">
      <c r="AD71" s="2" t="s">
        <v>60</v>
      </c>
      <c r="AE71" s="2">
        <v>18174488374.289898</v>
      </c>
      <c r="AF71" s="2">
        <v>36</v>
      </c>
      <c r="AG71" s="2">
        <v>504846899.2858305</v>
      </c>
      <c r="AH71" s="2"/>
      <c r="AI71" s="2"/>
      <c r="AJ71" s="2"/>
    </row>
    <row r="72" spans="30:36" x14ac:dyDescent="0.25">
      <c r="AD72" s="2"/>
      <c r="AE72" s="2"/>
      <c r="AF72" s="2"/>
      <c r="AG72" s="2"/>
      <c r="AH72" s="2"/>
      <c r="AI72" s="2"/>
      <c r="AJ72" s="2"/>
    </row>
    <row r="73" spans="30:36" x14ac:dyDescent="0.25">
      <c r="AD73" s="2" t="s">
        <v>55</v>
      </c>
      <c r="AE73" s="2">
        <v>139436150624.27048</v>
      </c>
      <c r="AF73" s="2">
        <v>71</v>
      </c>
      <c r="AG73" s="2"/>
      <c r="AH73" s="2"/>
      <c r="AI73" s="2"/>
      <c r="AJ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BCB8-E3D2-42C2-A36F-D042DD4FC0B7}">
  <dimension ref="A1:I43"/>
  <sheetViews>
    <sheetView topLeftCell="A13" workbookViewId="0">
      <selection activeCell="A4" sqref="A4"/>
    </sheetView>
  </sheetViews>
  <sheetFormatPr defaultRowHeight="15" x14ac:dyDescent="0.25"/>
  <cols>
    <col min="1" max="1" width="18.140625" customWidth="1"/>
    <col min="2" max="2" width="13.28515625" customWidth="1"/>
  </cols>
  <sheetData>
    <row r="1" spans="1:9" x14ac:dyDescent="0.25">
      <c r="A1" t="s">
        <v>66</v>
      </c>
    </row>
    <row r="2" spans="1:9" ht="15.75" thickBot="1" x14ac:dyDescent="0.3"/>
    <row r="3" spans="1:9" x14ac:dyDescent="0.25">
      <c r="A3" s="23" t="s">
        <v>67</v>
      </c>
      <c r="B3" s="23"/>
    </row>
    <row r="4" spans="1:9" x14ac:dyDescent="0.25">
      <c r="A4" s="6" t="s">
        <v>68</v>
      </c>
      <c r="B4" s="6">
        <v>0.35365539191895756</v>
      </c>
    </row>
    <row r="5" spans="1:9" x14ac:dyDescent="0.25">
      <c r="A5" s="6" t="s">
        <v>69</v>
      </c>
      <c r="B5" s="6">
        <v>0.12507213623335148</v>
      </c>
    </row>
    <row r="6" spans="1:9" x14ac:dyDescent="0.25">
      <c r="A6" s="6" t="s">
        <v>70</v>
      </c>
      <c r="B6" s="6">
        <v>8.4150877311316794E-3</v>
      </c>
    </row>
    <row r="7" spans="1:9" x14ac:dyDescent="0.25">
      <c r="A7" s="6" t="s">
        <v>28</v>
      </c>
      <c r="B7" s="6">
        <v>9.6638733576742393</v>
      </c>
    </row>
    <row r="8" spans="1:9" ht="15.75" thickBot="1" x14ac:dyDescent="0.3">
      <c r="A8" s="1" t="s">
        <v>71</v>
      </c>
      <c r="B8" s="1">
        <v>18</v>
      </c>
    </row>
    <row r="10" spans="1:9" ht="15.75" thickBot="1" x14ac:dyDescent="0.3">
      <c r="A10" t="s">
        <v>45</v>
      </c>
    </row>
    <row r="11" spans="1:9" x14ac:dyDescent="0.25">
      <c r="A11" s="5"/>
      <c r="B11" s="5" t="s">
        <v>48</v>
      </c>
      <c r="C11" s="5" t="s">
        <v>47</v>
      </c>
      <c r="D11" s="5" t="s">
        <v>49</v>
      </c>
      <c r="E11" s="5" t="s">
        <v>50</v>
      </c>
      <c r="F11" s="5" t="s">
        <v>75</v>
      </c>
    </row>
    <row r="12" spans="1:9" x14ac:dyDescent="0.25">
      <c r="A12" s="6" t="s">
        <v>72</v>
      </c>
      <c r="B12" s="6">
        <v>2</v>
      </c>
      <c r="C12" s="6">
        <v>200.25438701362168</v>
      </c>
      <c r="D12" s="6">
        <v>100.12719350681084</v>
      </c>
      <c r="E12" s="6">
        <v>1.0721352703430651</v>
      </c>
      <c r="F12" s="6">
        <v>0.36710631701395957</v>
      </c>
    </row>
    <row r="13" spans="1:9" x14ac:dyDescent="0.25">
      <c r="A13" s="6" t="s">
        <v>73</v>
      </c>
      <c r="B13" s="6">
        <v>15</v>
      </c>
      <c r="C13" s="6">
        <v>1400.8567240974896</v>
      </c>
      <c r="D13" s="6">
        <v>93.390448273165973</v>
      </c>
      <c r="E13" s="6"/>
      <c r="F13" s="6"/>
    </row>
    <row r="14" spans="1:9" ht="15.75" thickBot="1" x14ac:dyDescent="0.3">
      <c r="A14" s="1" t="s">
        <v>55</v>
      </c>
      <c r="B14" s="1">
        <v>17</v>
      </c>
      <c r="C14" s="1">
        <v>1601.1111111111113</v>
      </c>
      <c r="D14" s="1"/>
      <c r="E14" s="1"/>
      <c r="F14" s="1"/>
    </row>
    <row r="15" spans="1:9" ht="15.75" thickBot="1" x14ac:dyDescent="0.3"/>
    <row r="16" spans="1:9" x14ac:dyDescent="0.25">
      <c r="A16" s="5"/>
      <c r="B16" s="5" t="s">
        <v>76</v>
      </c>
      <c r="C16" s="5" t="s">
        <v>28</v>
      </c>
      <c r="D16" s="5" t="s">
        <v>77</v>
      </c>
      <c r="E16" s="5" t="s">
        <v>51</v>
      </c>
      <c r="F16" s="5" t="s">
        <v>78</v>
      </c>
      <c r="G16" s="5" t="s">
        <v>79</v>
      </c>
      <c r="H16" s="5" t="s">
        <v>80</v>
      </c>
      <c r="I16" s="5" t="s">
        <v>81</v>
      </c>
    </row>
    <row r="17" spans="1:9" x14ac:dyDescent="0.25">
      <c r="A17" s="6" t="s">
        <v>74</v>
      </c>
      <c r="B17" s="6">
        <v>35.876782877155577</v>
      </c>
      <c r="C17" s="6">
        <v>5.982774674255424</v>
      </c>
      <c r="D17" s="6">
        <v>5.9966796061261594</v>
      </c>
      <c r="E17" s="6">
        <v>2.4472905859494219E-5</v>
      </c>
      <c r="F17" s="6">
        <v>23.12480051652733</v>
      </c>
      <c r="G17" s="6">
        <v>48.628765237783824</v>
      </c>
      <c r="H17" s="6">
        <v>23.12480051652733</v>
      </c>
      <c r="I17" s="6">
        <v>48.628765237783824</v>
      </c>
    </row>
    <row r="18" spans="1:9" x14ac:dyDescent="0.25">
      <c r="A18" s="6">
        <v>2</v>
      </c>
      <c r="B18" s="6">
        <v>-0.27860169835852816</v>
      </c>
      <c r="C18" s="6">
        <v>0.84959040463129087</v>
      </c>
      <c r="D18" s="6">
        <v>-0.32792472330173855</v>
      </c>
      <c r="E18" s="6">
        <v>0.74750111911325479</v>
      </c>
      <c r="F18" s="6">
        <v>-2.0894607802218377</v>
      </c>
      <c r="G18" s="6">
        <v>1.5322573835047815</v>
      </c>
      <c r="H18" s="6">
        <v>-2.0894607802218377</v>
      </c>
      <c r="I18" s="6">
        <v>1.5322573835047815</v>
      </c>
    </row>
    <row r="19" spans="1:9" ht="15.75" thickBot="1" x14ac:dyDescent="0.3">
      <c r="A19" s="1">
        <v>0</v>
      </c>
      <c r="B19" s="1">
        <v>4.6683366397425231E-5</v>
      </c>
      <c r="C19" s="1">
        <v>3.7515350465759565E-5</v>
      </c>
      <c r="D19" s="1">
        <v>1.2443803887700144</v>
      </c>
      <c r="E19" s="1">
        <v>0.23245325933411592</v>
      </c>
      <c r="F19" s="1">
        <v>-3.327871030433365E-5</v>
      </c>
      <c r="G19" s="1">
        <v>1.2664544309918413E-4</v>
      </c>
      <c r="H19" s="1">
        <v>-3.327871030433365E-5</v>
      </c>
      <c r="I19" s="1">
        <v>1.2664544309918413E-4</v>
      </c>
    </row>
    <row r="23" spans="1:9" x14ac:dyDescent="0.25">
      <c r="A23" t="s">
        <v>82</v>
      </c>
      <c r="E23" t="s">
        <v>86</v>
      </c>
    </row>
    <row r="24" spans="1:9" ht="15.75" thickBot="1" x14ac:dyDescent="0.3"/>
    <row r="25" spans="1:9" x14ac:dyDescent="0.25">
      <c r="A25" s="5" t="s">
        <v>83</v>
      </c>
      <c r="B25" s="5" t="s">
        <v>84</v>
      </c>
      <c r="C25" s="5" t="s">
        <v>85</v>
      </c>
      <c r="E25" s="5" t="s">
        <v>87</v>
      </c>
      <c r="F25" s="5">
        <v>42</v>
      </c>
    </row>
    <row r="26" spans="1:9" x14ac:dyDescent="0.25">
      <c r="A26" s="6">
        <v>1</v>
      </c>
      <c r="B26" s="6">
        <v>39.510614214161166</v>
      </c>
      <c r="C26" s="6">
        <v>1.4893857858388344</v>
      </c>
      <c r="E26" s="6">
        <v>2.7777777777777777</v>
      </c>
      <c r="F26" s="6">
        <v>24</v>
      </c>
    </row>
    <row r="27" spans="1:9" x14ac:dyDescent="0.25">
      <c r="A27" s="6">
        <v>2</v>
      </c>
      <c r="B27" s="6">
        <v>41.101472915993376</v>
      </c>
      <c r="C27" s="6">
        <v>0.89852708400662351</v>
      </c>
      <c r="E27" s="6">
        <v>8.3333333333333321</v>
      </c>
      <c r="F27" s="6">
        <v>24</v>
      </c>
    </row>
    <row r="28" spans="1:9" x14ac:dyDescent="0.25">
      <c r="A28" s="6">
        <v>3</v>
      </c>
      <c r="B28" s="6">
        <v>35.598181178797049</v>
      </c>
      <c r="C28" s="6">
        <v>3.4018188212029514</v>
      </c>
      <c r="E28" s="6">
        <v>13.888888888888889</v>
      </c>
      <c r="F28" s="6">
        <v>25</v>
      </c>
    </row>
    <row r="29" spans="1:9" x14ac:dyDescent="0.25">
      <c r="A29" s="6">
        <v>4</v>
      </c>
      <c r="B29" s="6">
        <v>41.17884707733981</v>
      </c>
      <c r="C29" s="6">
        <v>1.8211529226601897</v>
      </c>
      <c r="E29" s="6">
        <v>19.444444444444443</v>
      </c>
      <c r="F29" s="6">
        <v>27</v>
      </c>
    </row>
    <row r="30" spans="1:9" x14ac:dyDescent="0.25">
      <c r="A30" s="6">
        <v>5</v>
      </c>
      <c r="B30" s="6">
        <v>38.958472047852247</v>
      </c>
      <c r="C30" s="6">
        <v>5.041527952147753</v>
      </c>
      <c r="E30" s="6">
        <v>25</v>
      </c>
      <c r="F30" s="6">
        <v>29</v>
      </c>
    </row>
    <row r="31" spans="1:9" x14ac:dyDescent="0.25">
      <c r="A31" s="6">
        <v>6</v>
      </c>
      <c r="B31" s="6">
        <v>33.926570988645878</v>
      </c>
      <c r="C31" s="6">
        <v>16.073429011354122</v>
      </c>
      <c r="E31" s="6">
        <v>30.555555555555557</v>
      </c>
      <c r="F31" s="6">
        <v>31</v>
      </c>
    </row>
    <row r="32" spans="1:9" x14ac:dyDescent="0.25">
      <c r="A32" s="6">
        <v>7</v>
      </c>
      <c r="B32" s="6">
        <v>40.133145199970784</v>
      </c>
      <c r="C32" s="6">
        <v>-11.133145199970784</v>
      </c>
      <c r="E32" s="6">
        <v>36.111111111111107</v>
      </c>
      <c r="F32" s="6">
        <v>34</v>
      </c>
    </row>
    <row r="33" spans="1:6" x14ac:dyDescent="0.25">
      <c r="A33" s="6">
        <v>8</v>
      </c>
      <c r="B33" s="6">
        <v>41.393798231677764</v>
      </c>
      <c r="C33" s="6">
        <v>2.6062017683222365</v>
      </c>
      <c r="E33" s="6">
        <v>41.666666666666664</v>
      </c>
      <c r="F33" s="6">
        <v>35</v>
      </c>
    </row>
    <row r="34" spans="1:6" x14ac:dyDescent="0.25">
      <c r="A34" s="6">
        <v>9</v>
      </c>
      <c r="B34" s="6">
        <v>41.603341728993577</v>
      </c>
      <c r="C34" s="6">
        <v>-14.603341728993577</v>
      </c>
      <c r="E34" s="6">
        <v>47.222222222222221</v>
      </c>
      <c r="F34" s="6">
        <v>39</v>
      </c>
    </row>
    <row r="35" spans="1:6" x14ac:dyDescent="0.25">
      <c r="A35" s="6">
        <v>10</v>
      </c>
      <c r="B35" s="6">
        <v>38.967656605427948</v>
      </c>
      <c r="C35" s="6">
        <v>-7.9676566054279476</v>
      </c>
      <c r="E35" s="6">
        <v>52.777777777777779</v>
      </c>
      <c r="F35" s="6">
        <v>41</v>
      </c>
    </row>
    <row r="36" spans="1:6" x14ac:dyDescent="0.25">
      <c r="A36" s="6">
        <v>11</v>
      </c>
      <c r="B36" s="6">
        <v>35.040977782079992</v>
      </c>
      <c r="C36" s="6">
        <v>-11.040977782079992</v>
      </c>
      <c r="E36" s="6">
        <v>58.333333333333336</v>
      </c>
      <c r="F36" s="6">
        <v>42</v>
      </c>
    </row>
    <row r="37" spans="1:6" x14ac:dyDescent="0.25">
      <c r="A37" s="6">
        <v>12</v>
      </c>
      <c r="B37" s="6">
        <v>33.090765893570293</v>
      </c>
      <c r="C37" s="6">
        <v>0.90923410642970737</v>
      </c>
      <c r="E37" s="6">
        <v>63.888888888888886</v>
      </c>
      <c r="F37" s="6">
        <v>43</v>
      </c>
    </row>
    <row r="38" spans="1:6" x14ac:dyDescent="0.25">
      <c r="A38" s="6">
        <v>13</v>
      </c>
      <c r="B38" s="6">
        <v>34.483774385362935</v>
      </c>
      <c r="C38" s="6">
        <v>-9.4837743853629348</v>
      </c>
      <c r="E38" s="6">
        <v>69.444444444444429</v>
      </c>
      <c r="F38" s="6">
        <v>44</v>
      </c>
    </row>
    <row r="39" spans="1:6" x14ac:dyDescent="0.25">
      <c r="A39" s="6">
        <v>14</v>
      </c>
      <c r="B39" s="6">
        <v>33.926570988645878</v>
      </c>
      <c r="C39" s="6">
        <v>1.0734290113541221</v>
      </c>
      <c r="E39" s="6">
        <v>74.999999999999986</v>
      </c>
      <c r="F39" s="6">
        <v>44</v>
      </c>
    </row>
    <row r="40" spans="1:6" x14ac:dyDescent="0.25">
      <c r="A40" s="6">
        <v>15</v>
      </c>
      <c r="B40" s="6">
        <v>41.722740471357291</v>
      </c>
      <c r="C40" s="6">
        <v>3.2772595286427091</v>
      </c>
      <c r="E40" s="6">
        <v>80.555555555555543</v>
      </c>
      <c r="F40" s="6">
        <v>45</v>
      </c>
    </row>
    <row r="41" spans="1:6" x14ac:dyDescent="0.25">
      <c r="A41" s="6">
        <v>16</v>
      </c>
      <c r="B41" s="6">
        <v>41.788530011190858</v>
      </c>
      <c r="C41" s="6">
        <v>16.211469988809142</v>
      </c>
      <c r="E41" s="6">
        <v>86.1111111111111</v>
      </c>
      <c r="F41" s="6">
        <v>45</v>
      </c>
    </row>
    <row r="42" spans="1:6" x14ac:dyDescent="0.25">
      <c r="A42" s="6">
        <v>17</v>
      </c>
      <c r="B42" s="6">
        <v>33.369367591928821</v>
      </c>
      <c r="C42" s="6">
        <v>-9.3693675919288211</v>
      </c>
      <c r="E42" s="6">
        <v>91.666666666666657</v>
      </c>
      <c r="F42" s="6">
        <v>50</v>
      </c>
    </row>
    <row r="43" spans="1:6" ht="15.75" thickBot="1" x14ac:dyDescent="0.3">
      <c r="A43" s="1">
        <v>18</v>
      </c>
      <c r="B43" s="1">
        <v>34.205172687004406</v>
      </c>
      <c r="C43" s="1">
        <v>10.794827312995594</v>
      </c>
      <c r="E43" s="1">
        <v>97.222222222222214</v>
      </c>
      <c r="F43" s="1">
        <v>58</v>
      </c>
    </row>
  </sheetData>
  <sortState xmlns:xlrd2="http://schemas.microsoft.com/office/spreadsheetml/2017/richdata2" ref="F26:F43">
    <sortCondition ref="F2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BB62-BC30-4B3C-AB65-D5EB80F3697A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s="5"/>
      <c r="B1" s="5">
        <v>1</v>
      </c>
      <c r="C1" s="5">
        <v>1</v>
      </c>
    </row>
    <row r="2" spans="1:3" x14ac:dyDescent="0.25">
      <c r="A2" s="6">
        <v>1</v>
      </c>
      <c r="B2" s="6" t="e">
        <f>VARP(Sheet1!#REF!)</f>
        <v>#REF!</v>
      </c>
      <c r="C2" s="6"/>
    </row>
    <row r="3" spans="1:3" ht="15.75" thickBot="1" x14ac:dyDescent="0.3">
      <c r="A3" s="1">
        <v>1</v>
      </c>
      <c r="B3" s="1">
        <v>6.7901234567901189E-2</v>
      </c>
      <c r="C3" s="1" t="e">
        <f>VARP(Sheet1!#REF!)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125A-E9C1-436C-BAD3-AA417CFF403C}">
  <dimension ref="A1:C3"/>
  <sheetViews>
    <sheetView workbookViewId="0">
      <selection sqref="A1:C3"/>
    </sheetView>
  </sheetViews>
  <sheetFormatPr defaultRowHeight="15" x14ac:dyDescent="0.25"/>
  <cols>
    <col min="1" max="1" width="19.5703125" customWidth="1"/>
    <col min="2" max="2" width="28.5703125" customWidth="1"/>
    <col min="3" max="3" width="31.42578125" customWidth="1"/>
  </cols>
  <sheetData>
    <row r="1" spans="1:3" x14ac:dyDescent="0.25">
      <c r="A1" s="5"/>
      <c r="B1" s="5" t="s">
        <v>4</v>
      </c>
      <c r="C1" s="5" t="s">
        <v>5</v>
      </c>
    </row>
    <row r="2" spans="1:3" x14ac:dyDescent="0.25">
      <c r="A2" s="6" t="s">
        <v>4</v>
      </c>
      <c r="B2" s="6" t="e">
        <f>VARP(Sheet1!#REF!)</f>
        <v>#REF!</v>
      </c>
      <c r="C2" s="6"/>
    </row>
    <row r="3" spans="1:3" ht="15.75" thickBot="1" x14ac:dyDescent="0.3">
      <c r="A3" s="1" t="s">
        <v>5</v>
      </c>
      <c r="B3" s="1">
        <v>4.7091412742382252E-2</v>
      </c>
      <c r="C3" s="1" t="e">
        <f>VARP(Sheet1!#REF!)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8BD2-F9ED-4CED-BEB5-255980A32F35}">
  <dimension ref="A1:G14"/>
  <sheetViews>
    <sheetView workbookViewId="0">
      <selection sqref="A1:G14"/>
    </sheetView>
  </sheetViews>
  <sheetFormatPr defaultRowHeight="15" x14ac:dyDescent="0.25"/>
  <sheetData>
    <row r="1" spans="1:7" x14ac:dyDescent="0.25">
      <c r="A1" t="s">
        <v>40</v>
      </c>
    </row>
    <row r="3" spans="1:7" ht="15.75" thickBot="1" x14ac:dyDescent="0.3">
      <c r="A3" t="s">
        <v>41</v>
      </c>
    </row>
    <row r="4" spans="1:7" x14ac:dyDescent="0.25">
      <c r="A4" s="5" t="s">
        <v>42</v>
      </c>
      <c r="B4" s="5" t="s">
        <v>39</v>
      </c>
      <c r="C4" s="5" t="s">
        <v>38</v>
      </c>
      <c r="D4" s="5" t="s">
        <v>43</v>
      </c>
      <c r="E4" s="5" t="s">
        <v>44</v>
      </c>
    </row>
    <row r="5" spans="1:7" x14ac:dyDescent="0.25">
      <c r="A5" s="6" t="s">
        <v>1</v>
      </c>
      <c r="B5" s="6">
        <v>10</v>
      </c>
      <c r="C5" s="6">
        <v>401</v>
      </c>
      <c r="D5" s="6">
        <v>40.1</v>
      </c>
      <c r="E5" s="6">
        <v>48.988888888888852</v>
      </c>
    </row>
    <row r="6" spans="1:7" ht="15.75" thickBot="1" x14ac:dyDescent="0.3">
      <c r="A6" s="1" t="s">
        <v>2</v>
      </c>
      <c r="B6" s="1">
        <v>10</v>
      </c>
      <c r="C6" s="1">
        <v>39</v>
      </c>
      <c r="D6" s="1">
        <v>3.9</v>
      </c>
      <c r="E6" s="1">
        <v>7.8777777777777782</v>
      </c>
    </row>
    <row r="9" spans="1:7" ht="15.75" thickBot="1" x14ac:dyDescent="0.3">
      <c r="A9" t="s">
        <v>45</v>
      </c>
    </row>
    <row r="10" spans="1:7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</row>
    <row r="11" spans="1:7" x14ac:dyDescent="0.25">
      <c r="A11" s="6" t="s">
        <v>53</v>
      </c>
      <c r="B11" s="6">
        <v>6552.2</v>
      </c>
      <c r="C11" s="6">
        <v>1</v>
      </c>
      <c r="D11" s="6">
        <v>6552.2</v>
      </c>
      <c r="E11" s="6">
        <v>230.44079718640097</v>
      </c>
      <c r="F11" s="6">
        <v>1.0552891882814546E-11</v>
      </c>
      <c r="G11" s="6">
        <v>4.4138734191705664</v>
      </c>
    </row>
    <row r="12" spans="1:7" x14ac:dyDescent="0.25">
      <c r="A12" s="6" t="s">
        <v>54</v>
      </c>
      <c r="B12" s="6">
        <v>511.79999999999995</v>
      </c>
      <c r="C12" s="6">
        <v>18</v>
      </c>
      <c r="D12" s="6">
        <v>28.43333333333333</v>
      </c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ht="15.75" thickBot="1" x14ac:dyDescent="0.3">
      <c r="A14" s="1" t="s">
        <v>55</v>
      </c>
      <c r="B14" s="1">
        <v>7064</v>
      </c>
      <c r="C14" s="1">
        <v>19</v>
      </c>
      <c r="D14" s="1"/>
      <c r="E14" s="1"/>
      <c r="F14" s="1"/>
      <c r="G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0E88-E593-4D82-B497-E029C7B74483}">
  <dimension ref="A1:G14"/>
  <sheetViews>
    <sheetView workbookViewId="0">
      <selection sqref="A1:G14"/>
    </sheetView>
  </sheetViews>
  <sheetFormatPr defaultRowHeight="15" x14ac:dyDescent="0.25"/>
  <sheetData>
    <row r="1" spans="1:7" x14ac:dyDescent="0.25">
      <c r="A1" t="s">
        <v>40</v>
      </c>
    </row>
    <row r="3" spans="1:7" ht="15.75" thickBot="1" x14ac:dyDescent="0.3">
      <c r="A3" t="s">
        <v>41</v>
      </c>
    </row>
    <row r="4" spans="1:7" x14ac:dyDescent="0.25">
      <c r="A4" s="5" t="s">
        <v>42</v>
      </c>
      <c r="B4" s="5" t="s">
        <v>39</v>
      </c>
      <c r="C4" s="5" t="s">
        <v>38</v>
      </c>
      <c r="D4" s="5" t="s">
        <v>43</v>
      </c>
      <c r="E4" s="5" t="s">
        <v>44</v>
      </c>
    </row>
    <row r="5" spans="1:7" x14ac:dyDescent="0.25">
      <c r="A5" s="6" t="s">
        <v>88</v>
      </c>
      <c r="B5" s="6">
        <v>6</v>
      </c>
      <c r="C5" s="6">
        <v>11</v>
      </c>
      <c r="D5" s="6">
        <v>1.8333333333333333</v>
      </c>
      <c r="E5" s="6">
        <v>0.56666666666666643</v>
      </c>
    </row>
    <row r="6" spans="1:7" ht="15.75" thickBot="1" x14ac:dyDescent="0.3">
      <c r="A6" s="1" t="s">
        <v>89</v>
      </c>
      <c r="B6" s="1">
        <v>6</v>
      </c>
      <c r="C6" s="1">
        <v>503</v>
      </c>
      <c r="D6" s="1">
        <v>83.833333333333329</v>
      </c>
      <c r="E6" s="1">
        <v>5770.166666666667</v>
      </c>
    </row>
    <row r="9" spans="1:7" ht="15.75" thickBot="1" x14ac:dyDescent="0.3">
      <c r="A9" t="s">
        <v>45</v>
      </c>
    </row>
    <row r="10" spans="1:7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</row>
    <row r="11" spans="1:7" x14ac:dyDescent="0.25">
      <c r="A11" s="6" t="s">
        <v>53</v>
      </c>
      <c r="B11" s="6">
        <v>20171.999999999996</v>
      </c>
      <c r="C11" s="6">
        <v>1</v>
      </c>
      <c r="D11" s="6">
        <v>20171.999999999996</v>
      </c>
      <c r="E11" s="6">
        <v>6.9911391966358964</v>
      </c>
      <c r="F11" s="6">
        <v>2.4561525753676299E-2</v>
      </c>
      <c r="G11" s="6">
        <v>4.9646027437307128</v>
      </c>
    </row>
    <row r="12" spans="1:7" x14ac:dyDescent="0.25">
      <c r="A12" s="6" t="s">
        <v>54</v>
      </c>
      <c r="B12" s="6">
        <v>28853.666666666668</v>
      </c>
      <c r="C12" s="6">
        <v>10</v>
      </c>
      <c r="D12" s="6">
        <v>2885.3666666666668</v>
      </c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ht="15.75" thickBot="1" x14ac:dyDescent="0.3">
      <c r="A14" s="1" t="s">
        <v>55</v>
      </c>
      <c r="B14" s="1">
        <v>49025.666666666664</v>
      </c>
      <c r="C14" s="1">
        <v>11</v>
      </c>
      <c r="D14" s="1"/>
      <c r="E14" s="1"/>
      <c r="F14" s="1"/>
      <c r="G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9A4D-D38C-4261-A85E-61403EA32462}">
  <dimension ref="A1:G30"/>
  <sheetViews>
    <sheetView workbookViewId="0">
      <selection sqref="A1:G30"/>
    </sheetView>
  </sheetViews>
  <sheetFormatPr defaultRowHeight="15" x14ac:dyDescent="0.25"/>
  <sheetData>
    <row r="1" spans="1:4" x14ac:dyDescent="0.25">
      <c r="A1" t="s">
        <v>56</v>
      </c>
    </row>
    <row r="3" spans="1:4" x14ac:dyDescent="0.25">
      <c r="A3" t="s">
        <v>41</v>
      </c>
      <c r="B3" t="s">
        <v>89</v>
      </c>
      <c r="C3" t="s">
        <v>90</v>
      </c>
      <c r="D3" t="s">
        <v>55</v>
      </c>
    </row>
    <row r="4" spans="1:4" ht="15.75" thickBot="1" x14ac:dyDescent="0.3">
      <c r="A4" s="4">
        <v>1</v>
      </c>
      <c r="B4" s="4"/>
      <c r="C4" s="4"/>
      <c r="D4" s="4"/>
    </row>
    <row r="5" spans="1:4" x14ac:dyDescent="0.25">
      <c r="A5" s="6" t="s">
        <v>39</v>
      </c>
      <c r="B5" s="6">
        <v>3</v>
      </c>
      <c r="C5" s="6">
        <v>3</v>
      </c>
      <c r="D5" s="6">
        <v>6</v>
      </c>
    </row>
    <row r="6" spans="1:4" x14ac:dyDescent="0.25">
      <c r="A6" s="6" t="s">
        <v>38</v>
      </c>
      <c r="B6" s="6">
        <v>124</v>
      </c>
      <c r="C6" s="6">
        <v>217</v>
      </c>
      <c r="D6" s="6">
        <v>341</v>
      </c>
    </row>
    <row r="7" spans="1:4" x14ac:dyDescent="0.25">
      <c r="A7" s="6" t="s">
        <v>43</v>
      </c>
      <c r="B7" s="6">
        <v>41.333333333333336</v>
      </c>
      <c r="C7" s="6">
        <v>72.333333333333329</v>
      </c>
      <c r="D7" s="6">
        <v>56.833333333333336</v>
      </c>
    </row>
    <row r="8" spans="1:4" x14ac:dyDescent="0.25">
      <c r="A8" s="6" t="s">
        <v>44</v>
      </c>
      <c r="B8" s="6">
        <v>282.33333333333348</v>
      </c>
      <c r="C8" s="6">
        <v>282.33333333333303</v>
      </c>
      <c r="D8" s="6">
        <v>514.1666666666664</v>
      </c>
    </row>
    <row r="9" spans="1:4" x14ac:dyDescent="0.25">
      <c r="A9" s="6"/>
      <c r="B9" s="6"/>
      <c r="C9" s="6"/>
      <c r="D9" s="6"/>
    </row>
    <row r="10" spans="1:4" ht="15.75" thickBot="1" x14ac:dyDescent="0.3">
      <c r="A10" s="4">
        <v>1</v>
      </c>
      <c r="B10" s="4"/>
      <c r="C10" s="4"/>
      <c r="D10" s="4"/>
    </row>
    <row r="11" spans="1:4" x14ac:dyDescent="0.25">
      <c r="A11" s="6" t="s">
        <v>39</v>
      </c>
      <c r="B11" s="6">
        <v>3</v>
      </c>
      <c r="C11" s="6">
        <v>3</v>
      </c>
      <c r="D11" s="6">
        <v>6</v>
      </c>
    </row>
    <row r="12" spans="1:4" x14ac:dyDescent="0.25">
      <c r="A12" s="6" t="s">
        <v>38</v>
      </c>
      <c r="B12" s="6">
        <v>379</v>
      </c>
      <c r="C12" s="6">
        <v>205</v>
      </c>
      <c r="D12" s="6">
        <v>584</v>
      </c>
    </row>
    <row r="13" spans="1:4" x14ac:dyDescent="0.25">
      <c r="A13" s="6" t="s">
        <v>43</v>
      </c>
      <c r="B13" s="6">
        <v>126.33333333333333</v>
      </c>
      <c r="C13" s="6">
        <v>68.333333333333329</v>
      </c>
      <c r="D13" s="6">
        <v>97.333333333333329</v>
      </c>
    </row>
    <row r="14" spans="1:4" x14ac:dyDescent="0.25">
      <c r="A14" s="6" t="s">
        <v>44</v>
      </c>
      <c r="B14" s="6">
        <v>8724.3333333333321</v>
      </c>
      <c r="C14" s="6">
        <v>506.33333333333303</v>
      </c>
      <c r="D14" s="6">
        <v>4701.4666666666672</v>
      </c>
    </row>
    <row r="15" spans="1:4" x14ac:dyDescent="0.25">
      <c r="A15" s="6"/>
      <c r="B15" s="6"/>
      <c r="C15" s="6"/>
      <c r="D15" s="6"/>
    </row>
    <row r="16" spans="1:4" ht="15.75" thickBot="1" x14ac:dyDescent="0.3">
      <c r="A16" s="4" t="s">
        <v>55</v>
      </c>
      <c r="B16" s="4"/>
      <c r="C16" s="4"/>
      <c r="D16" s="4"/>
    </row>
    <row r="17" spans="1:7" x14ac:dyDescent="0.25">
      <c r="A17" s="6" t="s">
        <v>39</v>
      </c>
      <c r="B17" s="6">
        <v>6</v>
      </c>
      <c r="C17" s="6">
        <v>6</v>
      </c>
      <c r="D17" s="6"/>
    </row>
    <row r="18" spans="1:7" x14ac:dyDescent="0.25">
      <c r="A18" s="6" t="s">
        <v>38</v>
      </c>
      <c r="B18" s="6">
        <v>503</v>
      </c>
      <c r="C18" s="6">
        <v>422</v>
      </c>
      <c r="D18" s="6"/>
    </row>
    <row r="19" spans="1:7" x14ac:dyDescent="0.25">
      <c r="A19" s="6" t="s">
        <v>43</v>
      </c>
      <c r="B19" s="6">
        <v>83.833333333333329</v>
      </c>
      <c r="C19" s="6">
        <v>70.333333333333329</v>
      </c>
      <c r="D19" s="6"/>
    </row>
    <row r="20" spans="1:7" x14ac:dyDescent="0.25">
      <c r="A20" s="6" t="s">
        <v>44</v>
      </c>
      <c r="B20" s="6">
        <v>5770.166666666667</v>
      </c>
      <c r="C20" s="6">
        <v>320.26666666666642</v>
      </c>
      <c r="D20" s="6"/>
    </row>
    <row r="21" spans="1:7" x14ac:dyDescent="0.25">
      <c r="A21" s="6"/>
      <c r="B21" s="6"/>
      <c r="C21" s="6"/>
      <c r="D21" s="6"/>
    </row>
    <row r="23" spans="1:7" ht="15.75" thickBot="1" x14ac:dyDescent="0.3">
      <c r="A23" t="s">
        <v>45</v>
      </c>
    </row>
    <row r="24" spans="1:7" x14ac:dyDescent="0.25">
      <c r="A24" s="5" t="s">
        <v>46</v>
      </c>
      <c r="B24" s="5" t="s">
        <v>47</v>
      </c>
      <c r="C24" s="5" t="s">
        <v>48</v>
      </c>
      <c r="D24" s="5" t="s">
        <v>49</v>
      </c>
      <c r="E24" s="5" t="s">
        <v>50</v>
      </c>
      <c r="F24" s="5" t="s">
        <v>51</v>
      </c>
      <c r="G24" s="5" t="s">
        <v>52</v>
      </c>
    </row>
    <row r="25" spans="1:7" x14ac:dyDescent="0.25">
      <c r="A25" s="6" t="s">
        <v>57</v>
      </c>
      <c r="B25" s="6">
        <v>4920.75</v>
      </c>
      <c r="C25" s="6">
        <v>1</v>
      </c>
      <c r="D25" s="6">
        <v>4920.75</v>
      </c>
      <c r="E25" s="6">
        <v>2.0094262574014836</v>
      </c>
      <c r="F25" s="6">
        <v>0.19407435096411382</v>
      </c>
      <c r="G25" s="6">
        <v>5.3176550715787174</v>
      </c>
    </row>
    <row r="26" spans="1:7" x14ac:dyDescent="0.25">
      <c r="A26" s="6" t="s">
        <v>58</v>
      </c>
      <c r="B26" s="6">
        <v>546.75</v>
      </c>
      <c r="C26" s="6">
        <v>1</v>
      </c>
      <c r="D26" s="6">
        <v>546.75</v>
      </c>
      <c r="E26" s="6">
        <v>0.2232695841557204</v>
      </c>
      <c r="F26" s="6">
        <v>0.64918175705475512</v>
      </c>
      <c r="G26" s="6">
        <v>5.3176550715787174</v>
      </c>
    </row>
    <row r="27" spans="1:7" x14ac:dyDescent="0.25">
      <c r="A27" s="6" t="s">
        <v>59</v>
      </c>
      <c r="B27" s="6">
        <v>5940.75</v>
      </c>
      <c r="C27" s="6">
        <v>1</v>
      </c>
      <c r="D27" s="6">
        <v>5940.75</v>
      </c>
      <c r="E27" s="6">
        <v>2.4259511331926769</v>
      </c>
      <c r="F27" s="6">
        <v>0.1579557178969403</v>
      </c>
      <c r="G27" s="6">
        <v>5.3176550715787174</v>
      </c>
    </row>
    <row r="28" spans="1:7" x14ac:dyDescent="0.25">
      <c r="A28" s="6" t="s">
        <v>60</v>
      </c>
      <c r="B28" s="6">
        <v>19590.666666666668</v>
      </c>
      <c r="C28" s="6">
        <v>8</v>
      </c>
      <c r="D28" s="6">
        <v>2448.8333333333335</v>
      </c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ht="15.75" thickBot="1" x14ac:dyDescent="0.3">
      <c r="A30" s="1" t="s">
        <v>55</v>
      </c>
      <c r="B30" s="1">
        <v>30998.916666666668</v>
      </c>
      <c r="C30" s="1">
        <v>11</v>
      </c>
      <c r="D30" s="1"/>
      <c r="E30" s="1"/>
      <c r="F30" s="1"/>
      <c r="G3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AD07-F6D3-4134-8533-1FACFB3CCB55}">
  <dimension ref="A1:G14"/>
  <sheetViews>
    <sheetView workbookViewId="0">
      <selection sqref="A1:G14"/>
    </sheetView>
  </sheetViews>
  <sheetFormatPr defaultRowHeight="15" x14ac:dyDescent="0.25"/>
  <sheetData>
    <row r="1" spans="1:7" x14ac:dyDescent="0.25">
      <c r="A1" t="s">
        <v>40</v>
      </c>
    </row>
    <row r="3" spans="1:7" ht="15.75" thickBot="1" x14ac:dyDescent="0.3">
      <c r="A3" t="s">
        <v>41</v>
      </c>
    </row>
    <row r="4" spans="1:7" x14ac:dyDescent="0.25">
      <c r="A4" s="5" t="s">
        <v>42</v>
      </c>
      <c r="B4" s="5" t="s">
        <v>39</v>
      </c>
      <c r="C4" s="5" t="s">
        <v>38</v>
      </c>
      <c r="D4" s="5" t="s">
        <v>43</v>
      </c>
      <c r="E4" s="5" t="s">
        <v>44</v>
      </c>
    </row>
    <row r="5" spans="1:7" x14ac:dyDescent="0.25">
      <c r="A5" s="6" t="s">
        <v>88</v>
      </c>
      <c r="B5" s="6">
        <v>6</v>
      </c>
      <c r="C5" s="6">
        <v>11</v>
      </c>
      <c r="D5" s="6">
        <v>1.8333333333333333</v>
      </c>
      <c r="E5" s="6">
        <v>0.56666666666666643</v>
      </c>
    </row>
    <row r="6" spans="1:7" ht="15.75" thickBot="1" x14ac:dyDescent="0.3">
      <c r="A6" s="1" t="s">
        <v>89</v>
      </c>
      <c r="B6" s="1">
        <v>6</v>
      </c>
      <c r="C6" s="1">
        <v>503</v>
      </c>
      <c r="D6" s="1">
        <v>83.833333333333329</v>
      </c>
      <c r="E6" s="1">
        <v>5770.166666666667</v>
      </c>
    </row>
    <row r="9" spans="1:7" ht="15.75" thickBot="1" x14ac:dyDescent="0.3">
      <c r="A9" t="s">
        <v>45</v>
      </c>
    </row>
    <row r="10" spans="1:7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</row>
    <row r="11" spans="1:7" x14ac:dyDescent="0.25">
      <c r="A11" s="6" t="s">
        <v>53</v>
      </c>
      <c r="B11" s="6">
        <v>20171.999999999996</v>
      </c>
      <c r="C11" s="6">
        <v>1</v>
      </c>
      <c r="D11" s="6">
        <v>20171.999999999996</v>
      </c>
      <c r="E11" s="6">
        <v>6.9911391966358964</v>
      </c>
      <c r="F11" s="6">
        <v>2.4561525753676299E-2</v>
      </c>
      <c r="G11" s="6">
        <v>4.9646027437307128</v>
      </c>
    </row>
    <row r="12" spans="1:7" x14ac:dyDescent="0.25">
      <c r="A12" s="6" t="s">
        <v>54</v>
      </c>
      <c r="B12" s="6">
        <v>28853.666666666668</v>
      </c>
      <c r="C12" s="6">
        <v>10</v>
      </c>
      <c r="D12" s="6">
        <v>2885.3666666666668</v>
      </c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ht="15.75" thickBot="1" x14ac:dyDescent="0.3">
      <c r="A14" s="1" t="s">
        <v>55</v>
      </c>
      <c r="B14" s="1">
        <v>49025.666666666664</v>
      </c>
      <c r="C14" s="1">
        <v>11</v>
      </c>
      <c r="D14" s="1"/>
      <c r="E14" s="1"/>
      <c r="F14" s="1"/>
      <c r="G1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D734-241C-40C6-8EEB-C27BE5CED83C}">
  <dimension ref="A1:G30"/>
  <sheetViews>
    <sheetView workbookViewId="0">
      <selection sqref="A1:G30"/>
    </sheetView>
  </sheetViews>
  <sheetFormatPr defaultRowHeight="15" x14ac:dyDescent="0.25"/>
  <sheetData>
    <row r="1" spans="1:4" x14ac:dyDescent="0.25">
      <c r="A1" t="s">
        <v>56</v>
      </c>
    </row>
    <row r="3" spans="1:4" x14ac:dyDescent="0.25">
      <c r="A3" t="s">
        <v>41</v>
      </c>
      <c r="B3" t="s">
        <v>89</v>
      </c>
      <c r="C3" t="s">
        <v>90</v>
      </c>
      <c r="D3" t="s">
        <v>55</v>
      </c>
    </row>
    <row r="4" spans="1:4" ht="15.75" thickBot="1" x14ac:dyDescent="0.3">
      <c r="A4" s="4">
        <v>1</v>
      </c>
      <c r="B4" s="4"/>
      <c r="C4" s="4"/>
      <c r="D4" s="4"/>
    </row>
    <row r="5" spans="1:4" x14ac:dyDescent="0.25">
      <c r="A5" s="6" t="s">
        <v>39</v>
      </c>
      <c r="B5" s="6">
        <v>3</v>
      </c>
      <c r="C5" s="6">
        <v>3</v>
      </c>
      <c r="D5" s="6">
        <v>6</v>
      </c>
    </row>
    <row r="6" spans="1:4" x14ac:dyDescent="0.25">
      <c r="A6" s="6" t="s">
        <v>38</v>
      </c>
      <c r="B6" s="6">
        <v>124</v>
      </c>
      <c r="C6" s="6">
        <v>217</v>
      </c>
      <c r="D6" s="6">
        <v>341</v>
      </c>
    </row>
    <row r="7" spans="1:4" x14ac:dyDescent="0.25">
      <c r="A7" s="6" t="s">
        <v>43</v>
      </c>
      <c r="B7" s="6">
        <v>41.333333333333336</v>
      </c>
      <c r="C7" s="6">
        <v>72.333333333333329</v>
      </c>
      <c r="D7" s="6">
        <v>56.833333333333336</v>
      </c>
    </row>
    <row r="8" spans="1:4" x14ac:dyDescent="0.25">
      <c r="A8" s="6" t="s">
        <v>44</v>
      </c>
      <c r="B8" s="6">
        <v>282.33333333333348</v>
      </c>
      <c r="C8" s="6">
        <v>282.33333333333303</v>
      </c>
      <c r="D8" s="6">
        <v>514.1666666666664</v>
      </c>
    </row>
    <row r="9" spans="1:4" x14ac:dyDescent="0.25">
      <c r="A9" s="6"/>
      <c r="B9" s="6"/>
      <c r="C9" s="6"/>
      <c r="D9" s="6"/>
    </row>
    <row r="10" spans="1:4" ht="15.75" thickBot="1" x14ac:dyDescent="0.3">
      <c r="A10" s="4">
        <v>1</v>
      </c>
      <c r="B10" s="4"/>
      <c r="C10" s="4"/>
      <c r="D10" s="4"/>
    </row>
    <row r="11" spans="1:4" x14ac:dyDescent="0.25">
      <c r="A11" s="6" t="s">
        <v>39</v>
      </c>
      <c r="B11" s="6">
        <v>3</v>
      </c>
      <c r="C11" s="6">
        <v>3</v>
      </c>
      <c r="D11" s="6">
        <v>6</v>
      </c>
    </row>
    <row r="12" spans="1:4" x14ac:dyDescent="0.25">
      <c r="A12" s="6" t="s">
        <v>38</v>
      </c>
      <c r="B12" s="6">
        <v>379</v>
      </c>
      <c r="C12" s="6">
        <v>205</v>
      </c>
      <c r="D12" s="6">
        <v>584</v>
      </c>
    </row>
    <row r="13" spans="1:4" x14ac:dyDescent="0.25">
      <c r="A13" s="6" t="s">
        <v>43</v>
      </c>
      <c r="B13" s="6">
        <v>126.33333333333333</v>
      </c>
      <c r="C13" s="6">
        <v>68.333333333333329</v>
      </c>
      <c r="D13" s="6">
        <v>97.333333333333329</v>
      </c>
    </row>
    <row r="14" spans="1:4" x14ac:dyDescent="0.25">
      <c r="A14" s="6" t="s">
        <v>44</v>
      </c>
      <c r="B14" s="6">
        <v>8724.3333333333321</v>
      </c>
      <c r="C14" s="6">
        <v>506.33333333333303</v>
      </c>
      <c r="D14" s="6">
        <v>4701.4666666666672</v>
      </c>
    </row>
    <row r="15" spans="1:4" x14ac:dyDescent="0.25">
      <c r="A15" s="6"/>
      <c r="B15" s="6"/>
      <c r="C15" s="6"/>
      <c r="D15" s="6"/>
    </row>
    <row r="16" spans="1:4" ht="15.75" thickBot="1" x14ac:dyDescent="0.3">
      <c r="A16" s="4" t="s">
        <v>55</v>
      </c>
      <c r="B16" s="4"/>
      <c r="C16" s="4"/>
      <c r="D16" s="4"/>
    </row>
    <row r="17" spans="1:7" x14ac:dyDescent="0.25">
      <c r="A17" s="6" t="s">
        <v>39</v>
      </c>
      <c r="B17" s="6">
        <v>6</v>
      </c>
      <c r="C17" s="6">
        <v>6</v>
      </c>
      <c r="D17" s="6"/>
    </row>
    <row r="18" spans="1:7" x14ac:dyDescent="0.25">
      <c r="A18" s="6" t="s">
        <v>38</v>
      </c>
      <c r="B18" s="6">
        <v>503</v>
      </c>
      <c r="C18" s="6">
        <v>422</v>
      </c>
      <c r="D18" s="6"/>
    </row>
    <row r="19" spans="1:7" x14ac:dyDescent="0.25">
      <c r="A19" s="6" t="s">
        <v>43</v>
      </c>
      <c r="B19" s="6">
        <v>83.833333333333329</v>
      </c>
      <c r="C19" s="6">
        <v>70.333333333333329</v>
      </c>
      <c r="D19" s="6"/>
    </row>
    <row r="20" spans="1:7" x14ac:dyDescent="0.25">
      <c r="A20" s="6" t="s">
        <v>44</v>
      </c>
      <c r="B20" s="6">
        <v>5770.166666666667</v>
      </c>
      <c r="C20" s="6">
        <v>320.26666666666642</v>
      </c>
      <c r="D20" s="6"/>
    </row>
    <row r="21" spans="1:7" x14ac:dyDescent="0.25">
      <c r="A21" s="6"/>
      <c r="B21" s="6"/>
      <c r="C21" s="6"/>
      <c r="D21" s="6"/>
    </row>
    <row r="23" spans="1:7" ht="15.75" thickBot="1" x14ac:dyDescent="0.3">
      <c r="A23" t="s">
        <v>45</v>
      </c>
    </row>
    <row r="24" spans="1:7" x14ac:dyDescent="0.25">
      <c r="A24" s="5" t="s">
        <v>46</v>
      </c>
      <c r="B24" s="5" t="s">
        <v>47</v>
      </c>
      <c r="C24" s="5" t="s">
        <v>48</v>
      </c>
      <c r="D24" s="5" t="s">
        <v>49</v>
      </c>
      <c r="E24" s="5" t="s">
        <v>50</v>
      </c>
      <c r="F24" s="5" t="s">
        <v>51</v>
      </c>
      <c r="G24" s="5" t="s">
        <v>52</v>
      </c>
    </row>
    <row r="25" spans="1:7" x14ac:dyDescent="0.25">
      <c r="A25" s="6" t="s">
        <v>57</v>
      </c>
      <c r="B25" s="6">
        <v>4920.75</v>
      </c>
      <c r="C25" s="6">
        <v>1</v>
      </c>
      <c r="D25" s="6">
        <v>4920.75</v>
      </c>
      <c r="E25" s="6">
        <v>2.0094262574014836</v>
      </c>
      <c r="F25" s="6">
        <v>0.19407435096411382</v>
      </c>
      <c r="G25" s="6">
        <v>5.3176550715787174</v>
      </c>
    </row>
    <row r="26" spans="1:7" x14ac:dyDescent="0.25">
      <c r="A26" s="6" t="s">
        <v>58</v>
      </c>
      <c r="B26" s="6">
        <v>546.75</v>
      </c>
      <c r="C26" s="6">
        <v>1</v>
      </c>
      <c r="D26" s="6">
        <v>546.75</v>
      </c>
      <c r="E26" s="6">
        <v>0.2232695841557204</v>
      </c>
      <c r="F26" s="6">
        <v>0.64918175705475512</v>
      </c>
      <c r="G26" s="6">
        <v>5.3176550715787174</v>
      </c>
    </row>
    <row r="27" spans="1:7" x14ac:dyDescent="0.25">
      <c r="A27" s="6" t="s">
        <v>59</v>
      </c>
      <c r="B27" s="6">
        <v>5940.75</v>
      </c>
      <c r="C27" s="6">
        <v>1</v>
      </c>
      <c r="D27" s="6">
        <v>5940.75</v>
      </c>
      <c r="E27" s="6">
        <v>2.4259511331926769</v>
      </c>
      <c r="F27" s="6">
        <v>0.1579557178969403</v>
      </c>
      <c r="G27" s="6">
        <v>5.3176550715787174</v>
      </c>
    </row>
    <row r="28" spans="1:7" x14ac:dyDescent="0.25">
      <c r="A28" s="6" t="s">
        <v>60</v>
      </c>
      <c r="B28" s="6">
        <v>19590.666666666668</v>
      </c>
      <c r="C28" s="6">
        <v>8</v>
      </c>
      <c r="D28" s="6">
        <v>2448.8333333333335</v>
      </c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ht="15.75" thickBot="1" x14ac:dyDescent="0.3">
      <c r="A30" s="1" t="s">
        <v>55</v>
      </c>
      <c r="B30" s="1">
        <v>30998.916666666668</v>
      </c>
      <c r="C30" s="1">
        <v>11</v>
      </c>
      <c r="D30" s="1"/>
      <c r="E30" s="1"/>
      <c r="F30" s="1"/>
      <c r="G3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A418-B8E3-4A78-ABA9-FB361489B7DE}">
  <dimension ref="A1:G17"/>
  <sheetViews>
    <sheetView workbookViewId="0">
      <selection activeCell="A12" sqref="A12:G17"/>
    </sheetView>
  </sheetViews>
  <sheetFormatPr defaultRowHeight="15" x14ac:dyDescent="0.25"/>
  <sheetData>
    <row r="1" spans="1:7" x14ac:dyDescent="0.25">
      <c r="A1" t="s">
        <v>61</v>
      </c>
    </row>
    <row r="2" spans="1:7" ht="15.75" thickBot="1" x14ac:dyDescent="0.3"/>
    <row r="3" spans="1:7" x14ac:dyDescent="0.25">
      <c r="A3" s="5" t="s">
        <v>41</v>
      </c>
      <c r="B3" s="5" t="s">
        <v>39</v>
      </c>
      <c r="C3" s="5" t="s">
        <v>38</v>
      </c>
      <c r="D3" s="5" t="s">
        <v>43</v>
      </c>
      <c r="E3" s="5" t="s">
        <v>44</v>
      </c>
    </row>
    <row r="4" spans="1:7" x14ac:dyDescent="0.25">
      <c r="A4" s="6" t="s">
        <v>95</v>
      </c>
      <c r="B4" s="6">
        <v>1</v>
      </c>
      <c r="C4" s="6">
        <v>88</v>
      </c>
      <c r="D4" s="6">
        <v>88</v>
      </c>
      <c r="E4" s="6" t="e">
        <v>#DIV/0!</v>
      </c>
    </row>
    <row r="5" spans="1:7" x14ac:dyDescent="0.25">
      <c r="A5" s="6" t="s">
        <v>96</v>
      </c>
      <c r="B5" s="6">
        <v>1</v>
      </c>
      <c r="C5" s="6">
        <v>80</v>
      </c>
      <c r="D5" s="6">
        <v>80</v>
      </c>
      <c r="E5" s="6" t="e">
        <v>#DIV/0!</v>
      </c>
    </row>
    <row r="6" spans="1:7" x14ac:dyDescent="0.25">
      <c r="A6" s="6" t="s">
        <v>97</v>
      </c>
      <c r="B6" s="6">
        <v>1</v>
      </c>
      <c r="C6" s="6">
        <v>95</v>
      </c>
      <c r="D6" s="6">
        <v>95</v>
      </c>
      <c r="E6" s="6" t="e">
        <v>#DIV/0!</v>
      </c>
    </row>
    <row r="7" spans="1:7" x14ac:dyDescent="0.25">
      <c r="A7" s="6"/>
      <c r="B7" s="6"/>
      <c r="C7" s="6"/>
      <c r="D7" s="6"/>
      <c r="E7" s="6"/>
    </row>
    <row r="8" spans="1:7" ht="15.75" thickBot="1" x14ac:dyDescent="0.3">
      <c r="A8" s="1" t="s">
        <v>94</v>
      </c>
      <c r="B8" s="1">
        <v>3</v>
      </c>
      <c r="C8" s="1">
        <v>263</v>
      </c>
      <c r="D8" s="1">
        <v>87.666666666666671</v>
      </c>
      <c r="E8" s="1">
        <v>56.333333333333329</v>
      </c>
    </row>
    <row r="11" spans="1:7" x14ac:dyDescent="0.25">
      <c r="A11" t="s">
        <v>45</v>
      </c>
    </row>
    <row r="12" spans="1:7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 spans="1:7" x14ac:dyDescent="0.25">
      <c r="A13" t="s">
        <v>62</v>
      </c>
      <c r="B13">
        <v>112.66666666666666</v>
      </c>
      <c r="C13">
        <v>2</v>
      </c>
      <c r="D13">
        <v>56.333333333333329</v>
      </c>
      <c r="E13">
        <v>65535</v>
      </c>
      <c r="F13" t="e">
        <v>#NUM!</v>
      </c>
      <c r="G13" t="e">
        <v>#NUM!</v>
      </c>
    </row>
    <row r="14" spans="1:7" x14ac:dyDescent="0.25">
      <c r="A14" t="s">
        <v>58</v>
      </c>
      <c r="B14">
        <v>0</v>
      </c>
      <c r="C14">
        <v>0</v>
      </c>
      <c r="D14">
        <v>65535</v>
      </c>
      <c r="E14">
        <v>65535</v>
      </c>
      <c r="F14" t="e">
        <v>#NUM!</v>
      </c>
      <c r="G14" t="e">
        <v>#NUM!</v>
      </c>
    </row>
    <row r="15" spans="1:7" x14ac:dyDescent="0.25">
      <c r="A15" t="s">
        <v>63</v>
      </c>
      <c r="B15">
        <v>0</v>
      </c>
      <c r="C15">
        <v>0</v>
      </c>
      <c r="D15">
        <v>65535</v>
      </c>
    </row>
    <row r="17" spans="1:3" x14ac:dyDescent="0.25">
      <c r="A17" t="s">
        <v>55</v>
      </c>
      <c r="B17">
        <v>112.66666666666666</v>
      </c>
      <c r="C17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C01D-319E-4FF6-BE41-ACB46F41C73C}">
  <dimension ref="A1:G17"/>
  <sheetViews>
    <sheetView workbookViewId="0">
      <selection sqref="A1:G17"/>
    </sheetView>
  </sheetViews>
  <sheetFormatPr defaultRowHeight="15" x14ac:dyDescent="0.25"/>
  <sheetData>
    <row r="1" spans="1:7" x14ac:dyDescent="0.25">
      <c r="A1" t="s">
        <v>61</v>
      </c>
    </row>
    <row r="2" spans="1:7" ht="15.75" thickBot="1" x14ac:dyDescent="0.3"/>
    <row r="3" spans="1:7" x14ac:dyDescent="0.25">
      <c r="A3" s="5" t="s">
        <v>41</v>
      </c>
      <c r="B3" s="5" t="s">
        <v>39</v>
      </c>
      <c r="C3" s="5" t="s">
        <v>38</v>
      </c>
      <c r="D3" s="5" t="s">
        <v>43</v>
      </c>
      <c r="E3" s="5" t="s">
        <v>44</v>
      </c>
    </row>
    <row r="4" spans="1:7" x14ac:dyDescent="0.25">
      <c r="A4" s="6" t="s">
        <v>95</v>
      </c>
      <c r="B4" s="6">
        <v>1</v>
      </c>
      <c r="C4" s="6">
        <v>88</v>
      </c>
      <c r="D4" s="6">
        <v>88</v>
      </c>
      <c r="E4" s="6" t="e">
        <v>#DIV/0!</v>
      </c>
    </row>
    <row r="5" spans="1:7" x14ac:dyDescent="0.25">
      <c r="A5" s="6" t="s">
        <v>96</v>
      </c>
      <c r="B5" s="6">
        <v>1</v>
      </c>
      <c r="C5" s="6">
        <v>80</v>
      </c>
      <c r="D5" s="6">
        <v>80</v>
      </c>
      <c r="E5" s="6" t="e">
        <v>#DIV/0!</v>
      </c>
    </row>
    <row r="6" spans="1:7" x14ac:dyDescent="0.25">
      <c r="A6" s="6" t="s">
        <v>97</v>
      </c>
      <c r="B6" s="6">
        <v>1</v>
      </c>
      <c r="C6" s="6">
        <v>95</v>
      </c>
      <c r="D6" s="6">
        <v>95</v>
      </c>
      <c r="E6" s="6" t="e">
        <v>#DIV/0!</v>
      </c>
    </row>
    <row r="7" spans="1:7" x14ac:dyDescent="0.25">
      <c r="A7" s="6"/>
      <c r="B7" s="6"/>
      <c r="C7" s="6"/>
      <c r="D7" s="6"/>
      <c r="E7" s="6"/>
    </row>
    <row r="8" spans="1:7" ht="15.75" thickBot="1" x14ac:dyDescent="0.3">
      <c r="A8" s="1" t="s">
        <v>94</v>
      </c>
      <c r="B8" s="1">
        <v>3</v>
      </c>
      <c r="C8" s="1">
        <v>263</v>
      </c>
      <c r="D8" s="1">
        <v>87.666666666666671</v>
      </c>
      <c r="E8" s="1">
        <v>56.333333333333329</v>
      </c>
    </row>
    <row r="11" spans="1:7" ht="15.75" thickBot="1" x14ac:dyDescent="0.3">
      <c r="A11" t="s">
        <v>45</v>
      </c>
    </row>
    <row r="12" spans="1:7" x14ac:dyDescent="0.25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5" t="s">
        <v>51</v>
      </c>
      <c r="G12" s="5" t="s">
        <v>52</v>
      </c>
    </row>
    <row r="13" spans="1:7" x14ac:dyDescent="0.25">
      <c r="A13" s="6" t="s">
        <v>62</v>
      </c>
      <c r="B13" s="6">
        <v>112.66666666666666</v>
      </c>
      <c r="C13" s="6">
        <v>2</v>
      </c>
      <c r="D13" s="6">
        <v>56.333333333333329</v>
      </c>
      <c r="E13" s="6">
        <v>65535</v>
      </c>
      <c r="F13" s="6" t="e">
        <v>#NUM!</v>
      </c>
      <c r="G13" s="6" t="e">
        <v>#NUM!</v>
      </c>
    </row>
    <row r="14" spans="1:7" x14ac:dyDescent="0.25">
      <c r="A14" s="6" t="s">
        <v>58</v>
      </c>
      <c r="B14" s="6">
        <v>0</v>
      </c>
      <c r="C14" s="6">
        <v>0</v>
      </c>
      <c r="D14" s="6">
        <v>65535</v>
      </c>
      <c r="E14" s="6">
        <v>65535</v>
      </c>
      <c r="F14" s="6" t="e">
        <v>#NUM!</v>
      </c>
      <c r="G14" s="6" t="e">
        <v>#NUM!</v>
      </c>
    </row>
    <row r="15" spans="1:7" x14ac:dyDescent="0.25">
      <c r="A15" s="6" t="s">
        <v>63</v>
      </c>
      <c r="B15" s="6">
        <v>0</v>
      </c>
      <c r="C15" s="6">
        <v>0</v>
      </c>
      <c r="D15" s="6">
        <v>65535</v>
      </c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ht="15.75" thickBot="1" x14ac:dyDescent="0.3">
      <c r="A17" s="1" t="s">
        <v>55</v>
      </c>
      <c r="B17" s="1">
        <v>112.66666666666666</v>
      </c>
      <c r="C17" s="1">
        <v>2</v>
      </c>
      <c r="D17" s="1"/>
      <c r="E17" s="1"/>
      <c r="F17" s="1"/>
      <c r="G1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9E52-280F-4CAC-922A-5F6FAE09C4EC}">
  <dimension ref="A1:G19"/>
  <sheetViews>
    <sheetView workbookViewId="0">
      <selection sqref="A1:G19"/>
    </sheetView>
  </sheetViews>
  <sheetFormatPr defaultRowHeight="15" x14ac:dyDescent="0.25"/>
  <sheetData>
    <row r="1" spans="1:7" x14ac:dyDescent="0.25">
      <c r="A1" t="s">
        <v>61</v>
      </c>
    </row>
    <row r="2" spans="1:7" ht="15.75" thickBot="1" x14ac:dyDescent="0.3"/>
    <row r="3" spans="1:7" x14ac:dyDescent="0.25">
      <c r="A3" s="5" t="s">
        <v>41</v>
      </c>
      <c r="B3" s="5" t="s">
        <v>39</v>
      </c>
      <c r="C3" s="5" t="s">
        <v>38</v>
      </c>
      <c r="D3" s="5" t="s">
        <v>43</v>
      </c>
      <c r="E3" s="5" t="s">
        <v>44</v>
      </c>
    </row>
    <row r="4" spans="1:7" x14ac:dyDescent="0.25">
      <c r="A4" s="6" t="s">
        <v>95</v>
      </c>
      <c r="B4" s="6">
        <v>3</v>
      </c>
      <c r="C4" s="6">
        <v>253</v>
      </c>
      <c r="D4" s="6">
        <v>84.333333333333329</v>
      </c>
      <c r="E4" s="6">
        <v>16.333333333333332</v>
      </c>
    </row>
    <row r="5" spans="1:7" x14ac:dyDescent="0.25">
      <c r="A5" s="6" t="s">
        <v>96</v>
      </c>
      <c r="B5" s="6">
        <v>3</v>
      </c>
      <c r="C5" s="6">
        <v>233</v>
      </c>
      <c r="D5" s="6">
        <v>77.666666666666671</v>
      </c>
      <c r="E5" s="6">
        <v>6.3333333333333339</v>
      </c>
    </row>
    <row r="6" spans="1:7" x14ac:dyDescent="0.25">
      <c r="A6" s="6" t="s">
        <v>97</v>
      </c>
      <c r="B6" s="6">
        <v>3</v>
      </c>
      <c r="C6" s="6">
        <v>277</v>
      </c>
      <c r="D6" s="6">
        <v>92.333333333333329</v>
      </c>
      <c r="E6" s="6">
        <v>6.3333333333333339</v>
      </c>
    </row>
    <row r="7" spans="1:7" x14ac:dyDescent="0.25">
      <c r="A7" s="6"/>
      <c r="B7" s="6"/>
      <c r="C7" s="6"/>
      <c r="D7" s="6"/>
      <c r="E7" s="6"/>
    </row>
    <row r="8" spans="1:7" x14ac:dyDescent="0.25">
      <c r="A8" s="6" t="s">
        <v>92</v>
      </c>
      <c r="B8" s="6">
        <v>3</v>
      </c>
      <c r="C8" s="6">
        <v>245</v>
      </c>
      <c r="D8" s="6">
        <v>81.666666666666671</v>
      </c>
      <c r="E8" s="6">
        <v>58.333333333333336</v>
      </c>
    </row>
    <row r="9" spans="1:7" x14ac:dyDescent="0.25">
      <c r="A9" s="6" t="s">
        <v>93</v>
      </c>
      <c r="B9" s="6">
        <v>3</v>
      </c>
      <c r="C9" s="6">
        <v>255</v>
      </c>
      <c r="D9" s="6">
        <v>85</v>
      </c>
      <c r="E9" s="6">
        <v>49</v>
      </c>
    </row>
    <row r="10" spans="1:7" ht="15.75" thickBot="1" x14ac:dyDescent="0.3">
      <c r="A10" s="1" t="s">
        <v>94</v>
      </c>
      <c r="B10" s="1">
        <v>3</v>
      </c>
      <c r="C10" s="1">
        <v>263</v>
      </c>
      <c r="D10" s="1">
        <v>87.666666666666671</v>
      </c>
      <c r="E10" s="1">
        <v>56.333333333333329</v>
      </c>
    </row>
    <row r="13" spans="1:7" ht="15.75" thickBot="1" x14ac:dyDescent="0.3">
      <c r="A13" t="s">
        <v>45</v>
      </c>
    </row>
    <row r="14" spans="1:7" x14ac:dyDescent="0.25">
      <c r="A14" s="5" t="s">
        <v>46</v>
      </c>
      <c r="B14" s="5" t="s">
        <v>47</v>
      </c>
      <c r="C14" s="5" t="s">
        <v>48</v>
      </c>
      <c r="D14" s="5" t="s">
        <v>49</v>
      </c>
      <c r="E14" s="5" t="s">
        <v>50</v>
      </c>
      <c r="F14" s="5" t="s">
        <v>51</v>
      </c>
      <c r="G14" s="5" t="s">
        <v>52</v>
      </c>
    </row>
    <row r="15" spans="1:7" x14ac:dyDescent="0.25">
      <c r="A15" s="6" t="s">
        <v>62</v>
      </c>
      <c r="B15" s="6">
        <v>323.55555555555554</v>
      </c>
      <c r="C15" s="6">
        <v>2</v>
      </c>
      <c r="D15" s="6">
        <v>161.77777777777777</v>
      </c>
      <c r="E15" s="6">
        <v>171.29411764705654</v>
      </c>
      <c r="F15" s="6">
        <v>1.3319635770181793E-4</v>
      </c>
      <c r="G15" s="6">
        <v>6.9442719099991574</v>
      </c>
    </row>
    <row r="16" spans="1:7" x14ac:dyDescent="0.25">
      <c r="A16" s="6" t="s">
        <v>58</v>
      </c>
      <c r="B16" s="6">
        <v>54.222222222222172</v>
      </c>
      <c r="C16" s="6">
        <v>2</v>
      </c>
      <c r="D16" s="6">
        <v>27.111111111111086</v>
      </c>
      <c r="E16" s="6">
        <v>28.705882352940765</v>
      </c>
      <c r="F16" s="6">
        <v>4.2424509328989274E-3</v>
      </c>
      <c r="G16" s="6">
        <v>6.9442719099991574</v>
      </c>
    </row>
    <row r="17" spans="1:7" x14ac:dyDescent="0.25">
      <c r="A17" s="6" t="s">
        <v>63</v>
      </c>
      <c r="B17" s="6">
        <v>3.7777777777778283</v>
      </c>
      <c r="C17" s="6">
        <v>4</v>
      </c>
      <c r="D17" s="6">
        <v>0.94444444444445708</v>
      </c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ht="15.75" thickBot="1" x14ac:dyDescent="0.3">
      <c r="A19" s="1" t="s">
        <v>55</v>
      </c>
      <c r="B19" s="1">
        <v>381.55555555555554</v>
      </c>
      <c r="C19" s="1">
        <v>8</v>
      </c>
      <c r="D19" s="1"/>
      <c r="E19" s="1"/>
      <c r="F19" s="1"/>
      <c r="G19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03F9-99E3-4711-8F57-5DF824056C21}">
  <dimension ref="A1:G24"/>
  <sheetViews>
    <sheetView workbookViewId="0">
      <selection sqref="A1:G24"/>
    </sheetView>
  </sheetViews>
  <sheetFormatPr defaultRowHeight="15" x14ac:dyDescent="0.25"/>
  <sheetData>
    <row r="1" spans="1:5" x14ac:dyDescent="0.25">
      <c r="A1" t="s">
        <v>56</v>
      </c>
    </row>
    <row r="3" spans="1:5" x14ac:dyDescent="0.25">
      <c r="A3" t="s">
        <v>41</v>
      </c>
      <c r="B3" t="s">
        <v>92</v>
      </c>
      <c r="C3" t="s">
        <v>93</v>
      </c>
      <c r="D3" t="s">
        <v>94</v>
      </c>
      <c r="E3" t="s">
        <v>55</v>
      </c>
    </row>
    <row r="4" spans="1:5" ht="15.75" thickBot="1" x14ac:dyDescent="0.3">
      <c r="A4" s="4" t="s">
        <v>95</v>
      </c>
      <c r="B4" s="4"/>
      <c r="C4" s="4"/>
      <c r="D4" s="4"/>
      <c r="E4" s="4"/>
    </row>
    <row r="5" spans="1:5" x14ac:dyDescent="0.25">
      <c r="A5" s="6" t="s">
        <v>39</v>
      </c>
      <c r="B5" s="6">
        <v>3</v>
      </c>
      <c r="C5" s="6">
        <v>3</v>
      </c>
      <c r="D5" s="6">
        <v>3</v>
      </c>
      <c r="E5" s="6">
        <v>9</v>
      </c>
    </row>
    <row r="6" spans="1:5" x14ac:dyDescent="0.25">
      <c r="A6" s="6" t="s">
        <v>38</v>
      </c>
      <c r="B6" s="6">
        <v>245</v>
      </c>
      <c r="C6" s="6">
        <v>255</v>
      </c>
      <c r="D6" s="6">
        <v>263</v>
      </c>
      <c r="E6" s="6">
        <v>763</v>
      </c>
    </row>
    <row r="7" spans="1:5" x14ac:dyDescent="0.25">
      <c r="A7" s="6" t="s">
        <v>43</v>
      </c>
      <c r="B7" s="6">
        <v>81.666666666666671</v>
      </c>
      <c r="C7" s="6">
        <v>85</v>
      </c>
      <c r="D7" s="6">
        <v>87.666666666666671</v>
      </c>
      <c r="E7" s="6">
        <v>84.777777777777771</v>
      </c>
    </row>
    <row r="8" spans="1:5" x14ac:dyDescent="0.25">
      <c r="A8" s="6" t="s">
        <v>44</v>
      </c>
      <c r="B8" s="6">
        <v>58.333333333333336</v>
      </c>
      <c r="C8" s="6">
        <v>49</v>
      </c>
      <c r="D8" s="6">
        <v>56.333333333333329</v>
      </c>
      <c r="E8" s="6">
        <v>47.694444444444443</v>
      </c>
    </row>
    <row r="9" spans="1:5" x14ac:dyDescent="0.25">
      <c r="A9" s="6"/>
      <c r="B9" s="6"/>
      <c r="C9" s="6"/>
      <c r="D9" s="6"/>
      <c r="E9" s="6"/>
    </row>
    <row r="10" spans="1:5" ht="15.75" thickBot="1" x14ac:dyDescent="0.3">
      <c r="A10" s="4" t="s">
        <v>55</v>
      </c>
      <c r="B10" s="4"/>
      <c r="C10" s="4"/>
    </row>
    <row r="11" spans="1:5" x14ac:dyDescent="0.25">
      <c r="A11" s="6" t="s">
        <v>39</v>
      </c>
      <c r="B11" s="6">
        <v>3</v>
      </c>
      <c r="C11" s="6">
        <v>3</v>
      </c>
      <c r="D11">
        <v>3</v>
      </c>
    </row>
    <row r="12" spans="1:5" x14ac:dyDescent="0.25">
      <c r="A12" s="6" t="s">
        <v>38</v>
      </c>
      <c r="B12" s="6">
        <v>245</v>
      </c>
      <c r="C12" s="6">
        <v>255</v>
      </c>
      <c r="D12">
        <v>263</v>
      </c>
    </row>
    <row r="13" spans="1:5" x14ac:dyDescent="0.25">
      <c r="A13" s="6" t="s">
        <v>43</v>
      </c>
      <c r="B13" s="6">
        <v>81.666666666666671</v>
      </c>
      <c r="C13" s="6">
        <v>85</v>
      </c>
      <c r="D13">
        <v>87.666666666666671</v>
      </c>
    </row>
    <row r="14" spans="1:5" x14ac:dyDescent="0.25">
      <c r="A14" s="6" t="s">
        <v>44</v>
      </c>
      <c r="B14" s="6">
        <v>58.333333333333336</v>
      </c>
      <c r="C14" s="6">
        <v>49</v>
      </c>
      <c r="D14">
        <v>56.333333333333329</v>
      </c>
    </row>
    <row r="15" spans="1:5" x14ac:dyDescent="0.25">
      <c r="A15" s="6"/>
      <c r="B15" s="6"/>
      <c r="C15" s="6"/>
    </row>
    <row r="17" spans="1:7" ht="15.75" thickBot="1" x14ac:dyDescent="0.3">
      <c r="A17" t="s">
        <v>45</v>
      </c>
    </row>
    <row r="18" spans="1:7" x14ac:dyDescent="0.25">
      <c r="A18" s="5" t="s">
        <v>46</v>
      </c>
      <c r="B18" s="5" t="s">
        <v>47</v>
      </c>
      <c r="C18" s="5" t="s">
        <v>48</v>
      </c>
      <c r="D18" s="5" t="s">
        <v>49</v>
      </c>
      <c r="E18" s="5" t="s">
        <v>50</v>
      </c>
      <c r="F18" s="5" t="s">
        <v>51</v>
      </c>
      <c r="G18" s="5" t="s">
        <v>52</v>
      </c>
    </row>
    <row r="19" spans="1:7" x14ac:dyDescent="0.25">
      <c r="A19" s="6" t="s">
        <v>57</v>
      </c>
      <c r="B19" s="6">
        <v>0</v>
      </c>
      <c r="C19" s="6">
        <v>0</v>
      </c>
      <c r="D19" s="6">
        <v>65535</v>
      </c>
      <c r="E19" s="6">
        <v>65535</v>
      </c>
      <c r="F19" s="6" t="e">
        <v>#NUM!</v>
      </c>
      <c r="G19" s="6" t="e">
        <v>#NUM!</v>
      </c>
    </row>
    <row r="20" spans="1:7" x14ac:dyDescent="0.25">
      <c r="A20" s="6" t="s">
        <v>58</v>
      </c>
      <c r="B20" s="6">
        <v>54.222222222222172</v>
      </c>
      <c r="C20" s="6">
        <v>2</v>
      </c>
      <c r="D20" s="6">
        <v>27.111111111111086</v>
      </c>
      <c r="E20" s="6">
        <v>0.49694501018329884</v>
      </c>
      <c r="F20" s="6">
        <v>0.63138949962352586</v>
      </c>
      <c r="G20" s="6">
        <v>5.1432528497847176</v>
      </c>
    </row>
    <row r="21" spans="1:7" x14ac:dyDescent="0.25">
      <c r="A21" s="6" t="s">
        <v>59</v>
      </c>
      <c r="B21" s="6">
        <v>0</v>
      </c>
      <c r="C21" s="6">
        <v>0</v>
      </c>
      <c r="D21" s="6">
        <v>65535</v>
      </c>
      <c r="E21" s="6">
        <v>65535</v>
      </c>
      <c r="F21" s="6" t="e">
        <v>#NUM!</v>
      </c>
      <c r="G21" s="6" t="e">
        <v>#NUM!</v>
      </c>
    </row>
    <row r="22" spans="1:7" x14ac:dyDescent="0.25">
      <c r="A22" s="6" t="s">
        <v>60</v>
      </c>
      <c r="B22" s="6">
        <v>327.33333333333337</v>
      </c>
      <c r="C22" s="6">
        <v>6</v>
      </c>
      <c r="D22" s="6">
        <v>54.555555555555564</v>
      </c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ht="15.75" thickBot="1" x14ac:dyDescent="0.3">
      <c r="A24" s="1" t="s">
        <v>55</v>
      </c>
      <c r="B24" s="1">
        <v>381.55555555555554</v>
      </c>
      <c r="C24" s="1">
        <v>8</v>
      </c>
      <c r="D24" s="1"/>
      <c r="E24" s="1"/>
      <c r="F24" s="1"/>
      <c r="G24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615F-A5AE-473C-9FBE-4A5CE5F3D125}">
  <dimension ref="A1:AO96"/>
  <sheetViews>
    <sheetView tabSelected="1" topLeftCell="A10" workbookViewId="0">
      <selection activeCell="R52" sqref="R52:T54"/>
    </sheetView>
  </sheetViews>
  <sheetFormatPr defaultRowHeight="15" x14ac:dyDescent="0.25"/>
  <cols>
    <col min="2" max="2" width="11" customWidth="1"/>
    <col min="4" max="4" width="11.5703125" customWidth="1"/>
    <col min="5" max="5" width="13.7109375" customWidth="1"/>
    <col min="6" max="6" width="20.5703125" customWidth="1"/>
    <col min="11" max="11" width="18.42578125" customWidth="1"/>
    <col min="17" max="17" width="14.42578125" customWidth="1"/>
    <col min="24" max="24" width="16.7109375" customWidth="1"/>
    <col min="25" max="25" width="15.85546875" customWidth="1"/>
    <col min="35" max="35" width="18" customWidth="1"/>
  </cols>
  <sheetData>
    <row r="1" spans="1:5" x14ac:dyDescent="0.25">
      <c r="A1" s="11" t="s">
        <v>0</v>
      </c>
      <c r="B1" s="11" t="s">
        <v>9</v>
      </c>
      <c r="C1" s="11" t="s">
        <v>10</v>
      </c>
      <c r="D1" s="11" t="s">
        <v>11</v>
      </c>
      <c r="E1" s="11" t="s">
        <v>12</v>
      </c>
    </row>
    <row r="2" spans="1:5" x14ac:dyDescent="0.25">
      <c r="A2" s="11">
        <v>1</v>
      </c>
      <c r="B2" s="11">
        <v>1</v>
      </c>
      <c r="C2" s="11">
        <v>2</v>
      </c>
      <c r="D2" s="11" t="s">
        <v>13</v>
      </c>
      <c r="E2" s="11">
        <v>464</v>
      </c>
    </row>
    <row r="3" spans="1:5" x14ac:dyDescent="0.25">
      <c r="A3" s="11">
        <v>2</v>
      </c>
      <c r="B3" s="11">
        <v>1</v>
      </c>
      <c r="C3" s="11">
        <v>3</v>
      </c>
      <c r="D3" s="11" t="s">
        <v>13</v>
      </c>
      <c r="E3" s="11">
        <v>456</v>
      </c>
    </row>
    <row r="4" spans="1:5" x14ac:dyDescent="0.25">
      <c r="A4" s="11">
        <v>3</v>
      </c>
      <c r="B4" s="11">
        <v>1</v>
      </c>
      <c r="C4" s="11">
        <v>3</v>
      </c>
      <c r="D4" s="11" t="s">
        <v>13</v>
      </c>
      <c r="E4" s="11">
        <v>377</v>
      </c>
    </row>
    <row r="5" spans="1:5" x14ac:dyDescent="0.25">
      <c r="A5" s="11">
        <v>4</v>
      </c>
      <c r="B5" s="11">
        <v>0</v>
      </c>
      <c r="C5" s="11">
        <v>5</v>
      </c>
      <c r="D5" s="11" t="s">
        <v>14</v>
      </c>
      <c r="E5" s="11">
        <v>350</v>
      </c>
    </row>
    <row r="6" spans="1:5" x14ac:dyDescent="0.25">
      <c r="A6" s="11">
        <v>5</v>
      </c>
      <c r="B6" s="11">
        <v>0</v>
      </c>
      <c r="C6" s="11">
        <v>5</v>
      </c>
      <c r="D6" s="11" t="s">
        <v>14</v>
      </c>
      <c r="E6" s="11">
        <v>425</v>
      </c>
    </row>
    <row r="7" spans="1:5" x14ac:dyDescent="0.25">
      <c r="A7" s="11">
        <v>6</v>
      </c>
      <c r="B7" s="11">
        <v>1</v>
      </c>
      <c r="C7" s="11">
        <v>5</v>
      </c>
      <c r="D7" s="11" t="s">
        <v>13</v>
      </c>
      <c r="E7" s="11">
        <v>484</v>
      </c>
    </row>
    <row r="8" spans="1:5" x14ac:dyDescent="0.25">
      <c r="A8" s="11">
        <v>7</v>
      </c>
      <c r="B8" s="11">
        <v>0</v>
      </c>
      <c r="C8" s="11">
        <v>2</v>
      </c>
      <c r="D8" s="11" t="s">
        <v>15</v>
      </c>
      <c r="E8" s="11">
        <v>206</v>
      </c>
    </row>
    <row r="9" spans="1:5" x14ac:dyDescent="0.25">
      <c r="A9" s="11">
        <v>8</v>
      </c>
      <c r="B9" s="11">
        <v>1</v>
      </c>
      <c r="C9" s="11">
        <v>2</v>
      </c>
      <c r="D9" s="11" t="s">
        <v>13</v>
      </c>
      <c r="E9" s="11">
        <v>282</v>
      </c>
    </row>
    <row r="10" spans="1:5" x14ac:dyDescent="0.25">
      <c r="A10" s="11">
        <v>9</v>
      </c>
      <c r="B10" s="11">
        <v>0</v>
      </c>
      <c r="C10" s="11">
        <v>3</v>
      </c>
      <c r="D10" s="11" t="s">
        <v>14</v>
      </c>
      <c r="E10" s="11">
        <v>251</v>
      </c>
    </row>
    <row r="11" spans="1:5" x14ac:dyDescent="0.25">
      <c r="A11" s="11">
        <v>10</v>
      </c>
      <c r="B11" s="11">
        <v>0</v>
      </c>
      <c r="C11" s="11">
        <v>3</v>
      </c>
      <c r="D11" s="11" t="s">
        <v>14</v>
      </c>
      <c r="E11" s="11">
        <v>342</v>
      </c>
    </row>
    <row r="12" spans="1:5" x14ac:dyDescent="0.25">
      <c r="A12" s="11">
        <v>11</v>
      </c>
      <c r="B12" s="11">
        <v>0</v>
      </c>
      <c r="C12" s="11">
        <v>3</v>
      </c>
      <c r="D12" s="11" t="s">
        <v>14</v>
      </c>
      <c r="E12" s="11">
        <v>264</v>
      </c>
    </row>
    <row r="13" spans="1:5" x14ac:dyDescent="0.25">
      <c r="A13" s="11">
        <v>12</v>
      </c>
      <c r="B13" s="11">
        <v>0</v>
      </c>
      <c r="C13" s="11">
        <v>3</v>
      </c>
      <c r="D13" s="11" t="s">
        <v>14</v>
      </c>
      <c r="E13" s="11">
        <v>249</v>
      </c>
    </row>
    <row r="14" spans="1:5" x14ac:dyDescent="0.25">
      <c r="A14" s="11">
        <v>13</v>
      </c>
      <c r="B14" s="11">
        <v>0</v>
      </c>
      <c r="C14" s="11">
        <v>3</v>
      </c>
      <c r="D14" s="11" t="s">
        <v>15</v>
      </c>
      <c r="E14" s="11">
        <v>119</v>
      </c>
    </row>
    <row r="15" spans="1:5" x14ac:dyDescent="0.25">
      <c r="A15" s="11">
        <v>14</v>
      </c>
      <c r="B15" s="11">
        <v>0</v>
      </c>
      <c r="C15" s="11">
        <v>3</v>
      </c>
      <c r="D15" s="11" t="s">
        <v>16</v>
      </c>
      <c r="E15" s="11">
        <v>549</v>
      </c>
    </row>
    <row r="16" spans="1:5" x14ac:dyDescent="0.25">
      <c r="A16" s="11">
        <v>15</v>
      </c>
      <c r="B16" s="11">
        <v>0</v>
      </c>
      <c r="C16" s="11">
        <v>2</v>
      </c>
      <c r="D16" s="11" t="s">
        <v>14</v>
      </c>
      <c r="E16" s="11">
        <v>318</v>
      </c>
    </row>
    <row r="17" spans="1:17" x14ac:dyDescent="0.25">
      <c r="A17" s="11">
        <v>16</v>
      </c>
      <c r="B17" s="11">
        <v>0</v>
      </c>
      <c r="C17" s="11">
        <v>5</v>
      </c>
      <c r="D17" s="11" t="s">
        <v>14</v>
      </c>
      <c r="E17" s="11">
        <v>308</v>
      </c>
    </row>
    <row r="18" spans="1:17" x14ac:dyDescent="0.25">
      <c r="A18" s="11">
        <v>17</v>
      </c>
      <c r="B18" s="11">
        <v>0</v>
      </c>
      <c r="C18" s="11">
        <v>2</v>
      </c>
      <c r="D18" s="11" t="s">
        <v>15</v>
      </c>
      <c r="E18" s="11">
        <v>163</v>
      </c>
    </row>
    <row r="19" spans="1:17" x14ac:dyDescent="0.25">
      <c r="A19" s="11">
        <v>18</v>
      </c>
      <c r="B19" s="11">
        <v>0</v>
      </c>
      <c r="C19" s="11">
        <v>3</v>
      </c>
      <c r="D19" s="11" t="s">
        <v>15</v>
      </c>
      <c r="E19" s="11">
        <v>544</v>
      </c>
    </row>
    <row r="20" spans="1:17" x14ac:dyDescent="0.25">
      <c r="A20" s="11">
        <v>19</v>
      </c>
      <c r="B20" s="11">
        <v>0</v>
      </c>
      <c r="C20" s="11">
        <v>3</v>
      </c>
      <c r="D20" s="11" t="s">
        <v>16</v>
      </c>
      <c r="E20" s="11">
        <v>732</v>
      </c>
    </row>
    <row r="22" spans="1:17" x14ac:dyDescent="0.25">
      <c r="F22" s="29" t="s">
        <v>40</v>
      </c>
      <c r="G22" s="29"/>
      <c r="H22" s="29"/>
      <c r="I22" s="29"/>
      <c r="J22" s="29"/>
      <c r="K22" s="29"/>
      <c r="L22" s="29"/>
    </row>
    <row r="23" spans="1:17" x14ac:dyDescent="0.25">
      <c r="F23" s="29"/>
      <c r="G23" s="29"/>
      <c r="H23" s="29"/>
      <c r="I23" s="29"/>
      <c r="J23" s="29"/>
      <c r="K23" s="29"/>
      <c r="L23" s="29"/>
    </row>
    <row r="24" spans="1:17" ht="15.75" thickBot="1" x14ac:dyDescent="0.3">
      <c r="F24" s="29" t="s">
        <v>41</v>
      </c>
      <c r="G24" s="29"/>
      <c r="H24" s="29"/>
      <c r="I24" s="29"/>
      <c r="J24" s="29"/>
      <c r="K24" s="29"/>
      <c r="L24" s="29"/>
    </row>
    <row r="25" spans="1:17" x14ac:dyDescent="0.25">
      <c r="F25" s="5" t="s">
        <v>42</v>
      </c>
      <c r="G25" s="5" t="s">
        <v>39</v>
      </c>
      <c r="H25" s="5" t="s">
        <v>38</v>
      </c>
      <c r="I25" s="5" t="s">
        <v>43</v>
      </c>
      <c r="J25" s="5" t="s">
        <v>44</v>
      </c>
      <c r="K25" s="29"/>
      <c r="L25" s="29"/>
    </row>
    <row r="26" spans="1:17" x14ac:dyDescent="0.25">
      <c r="F26" s="6" t="s">
        <v>88</v>
      </c>
      <c r="G26" s="6">
        <v>6</v>
      </c>
      <c r="H26" s="6">
        <v>11</v>
      </c>
      <c r="I26" s="6">
        <v>1.8333333333333333</v>
      </c>
      <c r="J26" s="6">
        <v>0.56666666666666643</v>
      </c>
      <c r="K26" s="29"/>
      <c r="L26" s="29"/>
    </row>
    <row r="27" spans="1:17" ht="15.75" thickBot="1" x14ac:dyDescent="0.3">
      <c r="F27" s="1" t="s">
        <v>89</v>
      </c>
      <c r="G27" s="1">
        <v>6</v>
      </c>
      <c r="H27" s="1">
        <v>503</v>
      </c>
      <c r="I27" s="1">
        <v>83.833333333333329</v>
      </c>
      <c r="J27" s="1">
        <v>5770.166666666667</v>
      </c>
      <c r="K27" s="29"/>
      <c r="L27" s="29"/>
    </row>
    <row r="28" spans="1:17" x14ac:dyDescent="0.25">
      <c r="F28" s="29"/>
      <c r="G28" s="29"/>
      <c r="H28" s="29"/>
      <c r="I28" s="29"/>
      <c r="J28" s="29"/>
      <c r="K28" s="29"/>
      <c r="L28" s="29"/>
    </row>
    <row r="29" spans="1:17" x14ac:dyDescent="0.25">
      <c r="F29" s="29"/>
      <c r="G29" s="29"/>
      <c r="H29" s="29"/>
      <c r="I29" s="29"/>
      <c r="J29" s="29"/>
      <c r="K29" s="29"/>
      <c r="L29" s="29"/>
    </row>
    <row r="30" spans="1:17" ht="15.75" thickBot="1" x14ac:dyDescent="0.3">
      <c r="F30" s="29" t="s">
        <v>45</v>
      </c>
      <c r="G30" s="29"/>
      <c r="H30" s="29"/>
      <c r="I30" s="29"/>
      <c r="J30" s="29"/>
      <c r="K30" s="29"/>
      <c r="L30" s="29"/>
    </row>
    <row r="31" spans="1:17" x14ac:dyDescent="0.25">
      <c r="F31" s="5" t="s">
        <v>46</v>
      </c>
      <c r="G31" s="5" t="s">
        <v>47</v>
      </c>
      <c r="H31" s="5" t="s">
        <v>48</v>
      </c>
      <c r="I31" s="5" t="s">
        <v>49</v>
      </c>
      <c r="J31" s="5" t="s">
        <v>50</v>
      </c>
      <c r="K31" s="5" t="s">
        <v>51</v>
      </c>
      <c r="L31" s="5" t="s">
        <v>52</v>
      </c>
    </row>
    <row r="32" spans="1:17" x14ac:dyDescent="0.25">
      <c r="F32" s="6" t="s">
        <v>53</v>
      </c>
      <c r="G32" s="6">
        <v>20171.999999999996</v>
      </c>
      <c r="H32" s="6">
        <v>1</v>
      </c>
      <c r="I32" s="6">
        <v>20171.999999999996</v>
      </c>
      <c r="J32" s="6">
        <v>6.9911391966358964</v>
      </c>
      <c r="K32" s="6">
        <v>2.4561525753676299E-2</v>
      </c>
      <c r="L32" s="6">
        <v>4.9646027437307128</v>
      </c>
      <c r="Q32" s="27" t="s">
        <v>88</v>
      </c>
    </row>
    <row r="33" spans="1:30" x14ac:dyDescent="0.25">
      <c r="F33" s="6" t="s">
        <v>54</v>
      </c>
      <c r="G33" s="6">
        <v>28853.666666666668</v>
      </c>
      <c r="H33" s="6">
        <v>10</v>
      </c>
      <c r="I33" s="6">
        <v>2885.3666666666668</v>
      </c>
      <c r="J33" s="6"/>
      <c r="K33" s="6"/>
      <c r="L33" s="6"/>
      <c r="Q33" s="21">
        <v>1</v>
      </c>
    </row>
    <row r="34" spans="1:30" x14ac:dyDescent="0.25">
      <c r="F34" s="6"/>
      <c r="G34" s="6"/>
      <c r="H34" s="6"/>
      <c r="I34" s="6"/>
      <c r="J34" s="6"/>
      <c r="K34" s="6"/>
      <c r="L34" s="6"/>
      <c r="Q34" s="21">
        <v>2</v>
      </c>
    </row>
    <row r="35" spans="1:30" ht="15.75" thickBot="1" x14ac:dyDescent="0.3">
      <c r="F35" s="1" t="s">
        <v>55</v>
      </c>
      <c r="G35" s="1">
        <v>49025.666666666664</v>
      </c>
      <c r="H35" s="1">
        <v>11</v>
      </c>
      <c r="I35" s="1"/>
      <c r="J35" s="1"/>
      <c r="K35" s="1"/>
      <c r="L35" s="1"/>
      <c r="Q35" s="21">
        <v>2</v>
      </c>
    </row>
    <row r="36" spans="1:30" x14ac:dyDescent="0.25">
      <c r="Q36" s="21">
        <v>1</v>
      </c>
    </row>
    <row r="37" spans="1:30" x14ac:dyDescent="0.25">
      <c r="Q37" s="21">
        <v>2</v>
      </c>
    </row>
    <row r="38" spans="1:30" x14ac:dyDescent="0.25">
      <c r="D38" s="27" t="s">
        <v>88</v>
      </c>
      <c r="E38" s="27" t="s">
        <v>89</v>
      </c>
      <c r="F38" s="27" t="s">
        <v>90</v>
      </c>
      <c r="Q38" s="21">
        <v>3</v>
      </c>
    </row>
    <row r="39" spans="1:30" x14ac:dyDescent="0.25">
      <c r="D39" s="21">
        <v>1</v>
      </c>
      <c r="E39" s="21">
        <v>23</v>
      </c>
      <c r="F39" s="21">
        <v>87</v>
      </c>
    </row>
    <row r="40" spans="1:30" x14ac:dyDescent="0.25">
      <c r="D40" s="21">
        <v>2</v>
      </c>
      <c r="E40" s="21">
        <v>45</v>
      </c>
      <c r="F40" s="21">
        <v>54</v>
      </c>
    </row>
    <row r="41" spans="1:30" x14ac:dyDescent="0.25">
      <c r="D41" s="21">
        <v>2</v>
      </c>
      <c r="E41" s="21">
        <v>56</v>
      </c>
      <c r="F41" s="21">
        <v>76</v>
      </c>
      <c r="K41" s="29" t="s">
        <v>56</v>
      </c>
      <c r="L41" s="29"/>
      <c r="M41" s="29"/>
      <c r="N41" s="29"/>
      <c r="O41" s="29"/>
      <c r="P41" s="29"/>
      <c r="Q41" s="29"/>
    </row>
    <row r="42" spans="1:30" x14ac:dyDescent="0.25">
      <c r="D42" s="21">
        <v>1</v>
      </c>
      <c r="E42" s="21">
        <v>234</v>
      </c>
      <c r="F42" s="21">
        <v>43</v>
      </c>
      <c r="K42" s="29"/>
      <c r="L42" s="29"/>
      <c r="M42" s="29"/>
      <c r="N42" s="29"/>
      <c r="O42" s="29"/>
      <c r="P42" s="29"/>
      <c r="Q42" s="29"/>
    </row>
    <row r="43" spans="1:30" x14ac:dyDescent="0.25">
      <c r="D43" s="21">
        <v>2</v>
      </c>
      <c r="E43" s="21">
        <v>67</v>
      </c>
      <c r="F43" s="21">
        <v>76</v>
      </c>
      <c r="K43" s="29" t="s">
        <v>41</v>
      </c>
      <c r="L43" s="29" t="s">
        <v>89</v>
      </c>
      <c r="M43" s="29" t="s">
        <v>90</v>
      </c>
      <c r="N43" s="29" t="s">
        <v>55</v>
      </c>
      <c r="Q43" s="28" t="s">
        <v>91</v>
      </c>
      <c r="R43" s="28" t="s">
        <v>94</v>
      </c>
      <c r="X43" s="30" t="s">
        <v>61</v>
      </c>
      <c r="Y43" s="30"/>
      <c r="Z43" s="30"/>
      <c r="AA43" s="30"/>
      <c r="AB43" s="30"/>
      <c r="AC43" s="30"/>
      <c r="AD43" s="30"/>
    </row>
    <row r="44" spans="1:30" ht="15.75" thickBot="1" x14ac:dyDescent="0.3">
      <c r="D44" s="21">
        <v>3</v>
      </c>
      <c r="E44" s="21">
        <v>78</v>
      </c>
      <c r="F44" s="21">
        <v>86</v>
      </c>
      <c r="K44" s="4">
        <v>1</v>
      </c>
      <c r="L44" s="4"/>
      <c r="M44" s="4"/>
      <c r="N44" s="4"/>
      <c r="Q44" s="24" t="s">
        <v>95</v>
      </c>
      <c r="R44" s="24">
        <v>88</v>
      </c>
      <c r="X44" s="30"/>
      <c r="Y44" s="30"/>
      <c r="Z44" s="30"/>
      <c r="AA44" s="30"/>
      <c r="AB44" s="30"/>
      <c r="AC44" s="30"/>
      <c r="AD44" s="30"/>
    </row>
    <row r="45" spans="1:30" x14ac:dyDescent="0.25">
      <c r="A45" s="29" t="s">
        <v>61</v>
      </c>
      <c r="B45" s="29"/>
      <c r="C45" s="29"/>
      <c r="D45" s="29"/>
      <c r="E45" s="29"/>
      <c r="F45" s="29"/>
      <c r="G45" s="29"/>
      <c r="K45" s="6" t="s">
        <v>39</v>
      </c>
      <c r="L45" s="6">
        <v>3</v>
      </c>
      <c r="M45" s="6">
        <v>3</v>
      </c>
      <c r="N45" s="6">
        <v>6</v>
      </c>
      <c r="Q45" s="24" t="s">
        <v>96</v>
      </c>
      <c r="R45" s="24">
        <v>80</v>
      </c>
      <c r="X45" s="16" t="s">
        <v>41</v>
      </c>
      <c r="Y45" s="16" t="s">
        <v>39</v>
      </c>
      <c r="Z45" s="16" t="s">
        <v>38</v>
      </c>
      <c r="AA45" s="16" t="s">
        <v>43</v>
      </c>
      <c r="AB45" s="16" t="s">
        <v>44</v>
      </c>
      <c r="AC45" s="30"/>
      <c r="AD45" s="30"/>
    </row>
    <row r="46" spans="1:30" ht="15.75" thickBot="1" x14ac:dyDescent="0.3">
      <c r="A46" s="29"/>
      <c r="B46" s="29"/>
      <c r="C46" s="29"/>
      <c r="D46" s="29"/>
      <c r="E46" s="29"/>
      <c r="F46" s="29"/>
      <c r="G46" s="29"/>
      <c r="K46" s="6" t="s">
        <v>38</v>
      </c>
      <c r="L46" s="6">
        <v>124</v>
      </c>
      <c r="M46" s="6">
        <v>217</v>
      </c>
      <c r="N46" s="6">
        <v>341</v>
      </c>
      <c r="Q46" s="24" t="s">
        <v>97</v>
      </c>
      <c r="R46" s="24">
        <v>95</v>
      </c>
      <c r="X46" s="3" t="s">
        <v>95</v>
      </c>
      <c r="Y46" s="3">
        <v>1</v>
      </c>
      <c r="Z46" s="3">
        <v>88</v>
      </c>
      <c r="AA46" s="3">
        <v>88</v>
      </c>
      <c r="AB46" s="3" t="e">
        <v>#DIV/0!</v>
      </c>
      <c r="AC46" s="30"/>
      <c r="AD46" s="30"/>
    </row>
    <row r="47" spans="1:30" x14ac:dyDescent="0.25">
      <c r="A47" s="5" t="s">
        <v>41</v>
      </c>
      <c r="B47" s="5" t="s">
        <v>39</v>
      </c>
      <c r="C47" s="5" t="s">
        <v>38</v>
      </c>
      <c r="D47" s="5" t="s">
        <v>43</v>
      </c>
      <c r="E47" s="5" t="s">
        <v>44</v>
      </c>
      <c r="F47" s="29"/>
      <c r="G47" s="29"/>
      <c r="K47" s="6" t="s">
        <v>43</v>
      </c>
      <c r="L47" s="6">
        <v>41.333333333333336</v>
      </c>
      <c r="M47" s="6">
        <v>72.333333333333329</v>
      </c>
      <c r="N47" s="6">
        <v>56.833333333333336</v>
      </c>
      <c r="O47" s="29"/>
      <c r="P47" s="29"/>
      <c r="X47" s="3" t="s">
        <v>96</v>
      </c>
      <c r="Y47" s="3">
        <v>1</v>
      </c>
      <c r="Z47" s="3">
        <v>80</v>
      </c>
      <c r="AA47" s="3">
        <v>80</v>
      </c>
      <c r="AB47" s="3" t="e">
        <v>#DIV/0!</v>
      </c>
      <c r="AC47" s="30"/>
      <c r="AD47" s="30"/>
    </row>
    <row r="48" spans="1:30" x14ac:dyDescent="0.25">
      <c r="A48" s="6">
        <v>1</v>
      </c>
      <c r="B48" s="6">
        <v>2</v>
      </c>
      <c r="C48" s="6">
        <v>110</v>
      </c>
      <c r="D48" s="6">
        <v>55</v>
      </c>
      <c r="E48" s="6">
        <v>2048</v>
      </c>
      <c r="F48" s="29"/>
      <c r="G48" s="29"/>
      <c r="K48" s="6" t="s">
        <v>44</v>
      </c>
      <c r="L48" s="6">
        <v>282.33333333333348</v>
      </c>
      <c r="M48" s="6">
        <v>282.33333333333303</v>
      </c>
      <c r="N48" s="6">
        <v>514.1666666666664</v>
      </c>
      <c r="O48" s="29"/>
      <c r="P48" s="29"/>
      <c r="Q48" s="29"/>
      <c r="X48" s="3" t="s">
        <v>97</v>
      </c>
      <c r="Y48" s="3">
        <v>1</v>
      </c>
      <c r="Z48" s="3">
        <v>95</v>
      </c>
      <c r="AA48" s="3">
        <v>95</v>
      </c>
      <c r="AB48" s="3" t="e">
        <v>#DIV/0!</v>
      </c>
      <c r="AC48" s="30"/>
      <c r="AD48" s="30"/>
    </row>
    <row r="49" spans="1:30" x14ac:dyDescent="0.25">
      <c r="A49" s="6">
        <v>2</v>
      </c>
      <c r="B49" s="6">
        <v>2</v>
      </c>
      <c r="C49" s="6">
        <v>99</v>
      </c>
      <c r="D49" s="6">
        <v>49.5</v>
      </c>
      <c r="E49" s="6">
        <v>40.5</v>
      </c>
      <c r="F49" s="29"/>
      <c r="G49" s="29"/>
      <c r="K49" s="6"/>
      <c r="L49" s="6"/>
      <c r="M49" s="6"/>
      <c r="N49" s="6"/>
      <c r="O49" s="29"/>
      <c r="P49" s="29"/>
      <c r="Q49" s="29"/>
      <c r="X49" s="3"/>
      <c r="Y49" s="3"/>
      <c r="Z49" s="3"/>
      <c r="AA49" s="3"/>
      <c r="AB49" s="3"/>
      <c r="AC49" s="30"/>
      <c r="AD49" s="30"/>
    </row>
    <row r="50" spans="1:30" ht="15.75" thickBot="1" x14ac:dyDescent="0.3">
      <c r="A50" s="6">
        <v>2</v>
      </c>
      <c r="B50" s="6">
        <v>2</v>
      </c>
      <c r="C50" s="6">
        <v>132</v>
      </c>
      <c r="D50" s="6">
        <v>66</v>
      </c>
      <c r="E50" s="6">
        <v>200</v>
      </c>
      <c r="F50" s="29"/>
      <c r="G50" s="29"/>
      <c r="K50" s="4">
        <v>1</v>
      </c>
      <c r="L50" s="4"/>
      <c r="M50" s="4"/>
      <c r="N50" s="4"/>
      <c r="O50" s="29"/>
      <c r="P50" s="29"/>
      <c r="Q50" s="29"/>
      <c r="X50" s="3" t="s">
        <v>94</v>
      </c>
      <c r="Y50" s="3">
        <v>3</v>
      </c>
      <c r="Z50" s="3">
        <v>263</v>
      </c>
      <c r="AA50" s="3">
        <v>87.666666666666671</v>
      </c>
      <c r="AB50" s="3">
        <v>56.333333333333329</v>
      </c>
      <c r="AC50" s="30"/>
      <c r="AD50" s="30"/>
    </row>
    <row r="51" spans="1:30" x14ac:dyDescent="0.25">
      <c r="A51" s="6">
        <v>1</v>
      </c>
      <c r="B51" s="6">
        <v>2</v>
      </c>
      <c r="C51" s="6">
        <v>277</v>
      </c>
      <c r="D51" s="6">
        <v>138.5</v>
      </c>
      <c r="E51" s="6">
        <v>18240.5</v>
      </c>
      <c r="F51" s="29"/>
      <c r="G51" s="29"/>
      <c r="K51" s="6" t="s">
        <v>39</v>
      </c>
      <c r="L51" s="6">
        <v>3</v>
      </c>
      <c r="M51" s="6">
        <v>3</v>
      </c>
      <c r="N51" s="6">
        <v>6</v>
      </c>
      <c r="O51" s="29"/>
      <c r="P51" s="29"/>
      <c r="Q51" s="25" t="s">
        <v>91</v>
      </c>
      <c r="R51" s="25" t="s">
        <v>92</v>
      </c>
      <c r="S51" s="25" t="s">
        <v>93</v>
      </c>
      <c r="T51" s="25" t="s">
        <v>94</v>
      </c>
      <c r="X51" s="30"/>
      <c r="Y51" s="30"/>
      <c r="Z51" s="30"/>
      <c r="AA51" s="30"/>
      <c r="AB51" s="30"/>
      <c r="AC51" s="30"/>
      <c r="AD51" s="30"/>
    </row>
    <row r="52" spans="1:30" x14ac:dyDescent="0.25">
      <c r="A52" s="6">
        <v>2</v>
      </c>
      <c r="B52" s="6">
        <v>2</v>
      </c>
      <c r="C52" s="6">
        <v>143</v>
      </c>
      <c r="D52" s="6">
        <v>71.5</v>
      </c>
      <c r="E52" s="6">
        <v>40.5</v>
      </c>
      <c r="F52" s="29"/>
      <c r="G52" s="29"/>
      <c r="K52" s="6" t="s">
        <v>38</v>
      </c>
      <c r="L52" s="6">
        <v>379</v>
      </c>
      <c r="M52" s="6">
        <v>205</v>
      </c>
      <c r="N52" s="6">
        <v>584</v>
      </c>
      <c r="O52" s="29"/>
      <c r="P52" s="29"/>
      <c r="Q52" s="26" t="s">
        <v>95</v>
      </c>
      <c r="R52" s="26">
        <v>80</v>
      </c>
      <c r="S52" s="26">
        <v>85</v>
      </c>
      <c r="T52" s="26">
        <v>88</v>
      </c>
      <c r="X52" s="30"/>
      <c r="Y52" s="30"/>
      <c r="Z52" s="30"/>
      <c r="AA52" s="30"/>
      <c r="AB52" s="30"/>
      <c r="AC52" s="30"/>
      <c r="AD52" s="30"/>
    </row>
    <row r="53" spans="1:30" x14ac:dyDescent="0.25">
      <c r="A53" s="6">
        <v>3</v>
      </c>
      <c r="B53" s="6">
        <v>2</v>
      </c>
      <c r="C53" s="6">
        <v>164</v>
      </c>
      <c r="D53" s="6">
        <v>82</v>
      </c>
      <c r="E53" s="6">
        <v>32</v>
      </c>
      <c r="F53" s="29"/>
      <c r="G53" s="29"/>
      <c r="K53" s="6" t="s">
        <v>43</v>
      </c>
      <c r="L53" s="6">
        <v>126.33333333333333</v>
      </c>
      <c r="M53" s="6">
        <v>68.333333333333329</v>
      </c>
      <c r="N53" s="6">
        <v>97.333333333333329</v>
      </c>
      <c r="O53" s="29"/>
      <c r="P53" s="29"/>
      <c r="Q53" s="26" t="s">
        <v>96</v>
      </c>
      <c r="R53" s="26">
        <v>75</v>
      </c>
      <c r="S53" s="26">
        <v>78</v>
      </c>
      <c r="T53" s="26">
        <v>80</v>
      </c>
      <c r="X53" s="30" t="s">
        <v>45</v>
      </c>
      <c r="Y53" s="30"/>
      <c r="Z53" s="30"/>
      <c r="AA53" s="30"/>
      <c r="AB53" s="30"/>
      <c r="AC53" s="30"/>
      <c r="AD53" s="30"/>
    </row>
    <row r="54" spans="1:30" x14ac:dyDescent="0.25">
      <c r="A54" s="6"/>
      <c r="B54" s="6"/>
      <c r="C54" s="6"/>
      <c r="D54" s="6"/>
      <c r="E54" s="6"/>
      <c r="F54" s="29"/>
      <c r="G54" s="29"/>
      <c r="K54" s="6" t="s">
        <v>44</v>
      </c>
      <c r="L54" s="6">
        <v>8724.3333333333321</v>
      </c>
      <c r="M54" s="6">
        <v>506.33333333333303</v>
      </c>
      <c r="N54" s="6">
        <v>4701.4666666666672</v>
      </c>
      <c r="O54" s="29"/>
      <c r="P54" s="29"/>
      <c r="Q54" s="26" t="s">
        <v>97</v>
      </c>
      <c r="R54" s="26">
        <v>90</v>
      </c>
      <c r="S54" s="26">
        <v>92</v>
      </c>
      <c r="T54" s="26">
        <v>95</v>
      </c>
      <c r="X54" s="16" t="s">
        <v>46</v>
      </c>
      <c r="Y54" s="16" t="s">
        <v>47</v>
      </c>
      <c r="Z54" s="16" t="s">
        <v>48</v>
      </c>
      <c r="AA54" s="16" t="s">
        <v>49</v>
      </c>
      <c r="AB54" s="16" t="s">
        <v>50</v>
      </c>
      <c r="AC54" s="16" t="s">
        <v>51</v>
      </c>
      <c r="AD54" s="16" t="s">
        <v>52</v>
      </c>
    </row>
    <row r="55" spans="1:30" x14ac:dyDescent="0.25">
      <c r="A55" s="6" t="s">
        <v>89</v>
      </c>
      <c r="B55" s="6">
        <v>6</v>
      </c>
      <c r="C55" s="6">
        <v>503</v>
      </c>
      <c r="D55" s="6">
        <v>83.833333333333329</v>
      </c>
      <c r="E55" s="6">
        <v>5770.166666666667</v>
      </c>
      <c r="F55" s="29"/>
      <c r="G55" s="29"/>
      <c r="K55" s="6"/>
      <c r="L55" s="6"/>
      <c r="M55" s="6"/>
      <c r="N55" s="6"/>
      <c r="O55" s="29"/>
      <c r="P55" s="29"/>
      <c r="X55" s="3" t="s">
        <v>62</v>
      </c>
      <c r="Y55" s="3">
        <v>112.66666666666666</v>
      </c>
      <c r="Z55" s="3">
        <v>2</v>
      </c>
      <c r="AA55" s="3">
        <v>56.333333333333329</v>
      </c>
      <c r="AB55" s="3">
        <v>65535</v>
      </c>
      <c r="AC55" s="3" t="e">
        <v>#NUM!</v>
      </c>
      <c r="AD55" s="3" t="e">
        <v>#NUM!</v>
      </c>
    </row>
    <row r="56" spans="1:30" ht="15.75" thickBot="1" x14ac:dyDescent="0.3">
      <c r="A56" s="1" t="s">
        <v>90</v>
      </c>
      <c r="B56" s="1">
        <v>6</v>
      </c>
      <c r="C56" s="1">
        <v>422</v>
      </c>
      <c r="D56" s="1">
        <v>70.333333333333329</v>
      </c>
      <c r="E56" s="1">
        <v>320.26666666666642</v>
      </c>
      <c r="F56" s="29"/>
      <c r="G56" s="29"/>
      <c r="K56" s="4" t="s">
        <v>55</v>
      </c>
      <c r="L56" s="4"/>
      <c r="M56" s="4"/>
      <c r="N56" s="4"/>
      <c r="O56" s="29"/>
      <c r="P56" s="29"/>
      <c r="X56" s="3" t="s">
        <v>58</v>
      </c>
      <c r="Y56" s="3">
        <v>0</v>
      </c>
      <c r="Z56" s="3">
        <v>0</v>
      </c>
      <c r="AA56" s="3">
        <v>65535</v>
      </c>
      <c r="AB56" s="3">
        <v>65535</v>
      </c>
      <c r="AC56" s="3" t="e">
        <v>#NUM!</v>
      </c>
      <c r="AD56" s="3" t="e">
        <v>#NUM!</v>
      </c>
    </row>
    <row r="57" spans="1:30" x14ac:dyDescent="0.25">
      <c r="A57" s="29"/>
      <c r="B57" s="29"/>
      <c r="C57" s="29"/>
      <c r="D57" s="29"/>
      <c r="E57" s="29"/>
      <c r="F57" s="29"/>
      <c r="G57" s="29"/>
      <c r="K57" s="6" t="s">
        <v>39</v>
      </c>
      <c r="L57" s="6">
        <v>6</v>
      </c>
      <c r="M57" s="6">
        <v>6</v>
      </c>
      <c r="N57" s="6"/>
      <c r="O57" s="29"/>
      <c r="P57" s="29"/>
      <c r="X57" s="3" t="s">
        <v>63</v>
      </c>
      <c r="Y57" s="3">
        <v>0</v>
      </c>
      <c r="Z57" s="3">
        <v>0</v>
      </c>
      <c r="AA57" s="3">
        <v>65535</v>
      </c>
      <c r="AB57" s="3"/>
      <c r="AC57" s="3"/>
      <c r="AD57" s="3"/>
    </row>
    <row r="58" spans="1:30" x14ac:dyDescent="0.25">
      <c r="A58" s="29"/>
      <c r="B58" s="29"/>
      <c r="C58" s="29"/>
      <c r="D58" s="29"/>
      <c r="E58" s="29"/>
      <c r="F58" s="29"/>
      <c r="G58" s="29"/>
      <c r="K58" s="6" t="s">
        <v>38</v>
      </c>
      <c r="L58" s="6">
        <v>503</v>
      </c>
      <c r="M58" s="6">
        <v>422</v>
      </c>
      <c r="N58" s="6"/>
      <c r="O58" s="29"/>
      <c r="P58" s="29"/>
      <c r="X58" s="3"/>
      <c r="Y58" s="3"/>
      <c r="Z58" s="3"/>
      <c r="AA58" s="3"/>
      <c r="AB58" s="3"/>
      <c r="AC58" s="3"/>
      <c r="AD58" s="3"/>
    </row>
    <row r="59" spans="1:30" ht="15.75" thickBot="1" x14ac:dyDescent="0.3">
      <c r="A59" s="29" t="s">
        <v>45</v>
      </c>
      <c r="B59" s="29"/>
      <c r="C59" s="29"/>
      <c r="D59" s="29"/>
      <c r="E59" s="29"/>
      <c r="F59" s="29"/>
      <c r="G59" s="29"/>
      <c r="K59" s="6" t="s">
        <v>43</v>
      </c>
      <c r="L59" s="6">
        <v>83.833333333333329</v>
      </c>
      <c r="M59" s="6">
        <v>70.333333333333329</v>
      </c>
      <c r="N59" s="6"/>
      <c r="O59" s="29"/>
      <c r="P59" s="29"/>
      <c r="X59" s="3" t="s">
        <v>55</v>
      </c>
      <c r="Y59" s="3">
        <v>112.66666666666666</v>
      </c>
      <c r="Z59" s="3">
        <v>2</v>
      </c>
      <c r="AA59" s="3"/>
      <c r="AB59" s="3"/>
      <c r="AC59" s="3"/>
      <c r="AD59" s="3"/>
    </row>
    <row r="60" spans="1:30" x14ac:dyDescent="0.25">
      <c r="A60" s="5" t="s">
        <v>46</v>
      </c>
      <c r="B60" s="5" t="s">
        <v>47</v>
      </c>
      <c r="C60" s="5" t="s">
        <v>48</v>
      </c>
      <c r="D60" s="5" t="s">
        <v>49</v>
      </c>
      <c r="E60" s="5" t="s">
        <v>50</v>
      </c>
      <c r="F60" s="5" t="s">
        <v>51</v>
      </c>
      <c r="G60" s="5" t="s">
        <v>52</v>
      </c>
      <c r="K60" s="6" t="s">
        <v>44</v>
      </c>
      <c r="L60" s="6">
        <v>5770.166666666667</v>
      </c>
      <c r="M60" s="6">
        <v>320.26666666666642</v>
      </c>
      <c r="N60" s="6"/>
      <c r="O60" s="29"/>
      <c r="P60" s="29"/>
    </row>
    <row r="61" spans="1:30" x14ac:dyDescent="0.25">
      <c r="A61" s="6" t="s">
        <v>62</v>
      </c>
      <c r="B61" s="6">
        <v>10397.416666666668</v>
      </c>
      <c r="C61" s="6">
        <v>5</v>
      </c>
      <c r="D61" s="6">
        <v>2079.4833333333336</v>
      </c>
      <c r="E61" s="6">
        <v>0.51845157215456028</v>
      </c>
      <c r="F61" s="6">
        <v>0.75585959898225075</v>
      </c>
      <c r="G61" s="6">
        <v>5.0503290576326485</v>
      </c>
      <c r="K61" s="6"/>
      <c r="L61" s="6"/>
      <c r="M61" s="6"/>
      <c r="N61" s="6"/>
      <c r="O61" s="29"/>
      <c r="P61" s="29"/>
    </row>
    <row r="62" spans="1:30" x14ac:dyDescent="0.25">
      <c r="A62" s="6" t="s">
        <v>58</v>
      </c>
      <c r="B62" s="6">
        <v>546.75</v>
      </c>
      <c r="C62" s="6">
        <v>1</v>
      </c>
      <c r="D62" s="6">
        <v>546.75</v>
      </c>
      <c r="E62" s="6">
        <v>0.13631433949563071</v>
      </c>
      <c r="F62" s="6">
        <v>0.72709239798145531</v>
      </c>
      <c r="G62" s="6">
        <v>6.607890973703368</v>
      </c>
      <c r="K62" s="29"/>
      <c r="L62" s="29"/>
      <c r="M62" s="29"/>
      <c r="N62" s="29"/>
      <c r="O62" s="29"/>
      <c r="P62" s="29"/>
    </row>
    <row r="63" spans="1:30" ht="15.75" thickBot="1" x14ac:dyDescent="0.3">
      <c r="A63" s="6" t="s">
        <v>63</v>
      </c>
      <c r="B63" s="6">
        <v>20054.75</v>
      </c>
      <c r="C63" s="6">
        <v>5</v>
      </c>
      <c r="D63" s="6">
        <v>4010.95</v>
      </c>
      <c r="E63" s="6"/>
      <c r="F63" s="6"/>
      <c r="G63" s="6"/>
      <c r="K63" s="29" t="s">
        <v>45</v>
      </c>
      <c r="L63" s="29"/>
      <c r="M63" s="29"/>
      <c r="N63" s="29"/>
      <c r="O63" s="29"/>
      <c r="P63" s="29"/>
    </row>
    <row r="64" spans="1:30" x14ac:dyDescent="0.25">
      <c r="A64" s="6"/>
      <c r="B64" s="6"/>
      <c r="C64" s="6"/>
      <c r="D64" s="6"/>
      <c r="E64" s="6"/>
      <c r="F64" s="6"/>
      <c r="G64" s="6"/>
      <c r="K64" s="5" t="s">
        <v>46</v>
      </c>
      <c r="L64" s="5" t="s">
        <v>47</v>
      </c>
      <c r="M64" s="5" t="s">
        <v>48</v>
      </c>
      <c r="N64" s="5" t="s">
        <v>49</v>
      </c>
      <c r="O64" s="5" t="s">
        <v>50</v>
      </c>
      <c r="P64" s="5" t="s">
        <v>51</v>
      </c>
    </row>
    <row r="65" spans="1:41" ht="15.75" thickBot="1" x14ac:dyDescent="0.3">
      <c r="A65" s="1" t="s">
        <v>55</v>
      </c>
      <c r="B65" s="1">
        <v>30998.916666666668</v>
      </c>
      <c r="C65" s="1">
        <v>11</v>
      </c>
      <c r="D65" s="1"/>
      <c r="E65" s="1"/>
      <c r="F65" s="1"/>
      <c r="G65" s="1"/>
      <c r="K65" s="6" t="s">
        <v>57</v>
      </c>
      <c r="L65" s="6">
        <v>4920.75</v>
      </c>
      <c r="M65" s="6">
        <v>1</v>
      </c>
      <c r="N65" s="6">
        <v>4920.75</v>
      </c>
      <c r="O65" s="6">
        <v>2.0094262574014836</v>
      </c>
      <c r="P65" s="6">
        <v>0.19407435096411382</v>
      </c>
    </row>
    <row r="66" spans="1:41" x14ac:dyDescent="0.25">
      <c r="K66" s="6" t="s">
        <v>58</v>
      </c>
      <c r="L66" s="6">
        <v>546.75</v>
      </c>
      <c r="M66" s="6">
        <v>1</v>
      </c>
      <c r="N66" s="6">
        <v>546.75</v>
      </c>
      <c r="O66" s="6">
        <v>0.2232695841557204</v>
      </c>
      <c r="P66" s="6">
        <v>0.64918175705475512</v>
      </c>
      <c r="AI66" s="29" t="s">
        <v>56</v>
      </c>
      <c r="AJ66" s="29"/>
      <c r="AK66" s="29"/>
      <c r="AL66" s="29"/>
      <c r="AM66" s="29"/>
      <c r="AN66" s="29"/>
      <c r="AO66" s="29"/>
    </row>
    <row r="67" spans="1:41" x14ac:dyDescent="0.25">
      <c r="K67" s="6" t="s">
        <v>59</v>
      </c>
      <c r="L67" s="6">
        <v>5940.75</v>
      </c>
      <c r="M67" s="6">
        <v>1</v>
      </c>
      <c r="N67" s="6">
        <v>5940.75</v>
      </c>
      <c r="O67" s="6">
        <v>2.4259511331926769</v>
      </c>
      <c r="P67" s="6">
        <v>0.1579557178969403</v>
      </c>
      <c r="Y67" s="29" t="s">
        <v>61</v>
      </c>
      <c r="Z67" s="29"/>
      <c r="AA67" s="29"/>
      <c r="AB67" s="29"/>
      <c r="AC67" s="29"/>
      <c r="AD67" s="29"/>
      <c r="AE67" s="29"/>
      <c r="AI67" s="29"/>
      <c r="AJ67" s="29"/>
      <c r="AK67" s="29"/>
      <c r="AL67" s="29"/>
      <c r="AM67" s="29"/>
      <c r="AN67" s="29"/>
      <c r="AO67" s="29"/>
    </row>
    <row r="68" spans="1:41" x14ac:dyDescent="0.25">
      <c r="K68" s="6" t="s">
        <v>60</v>
      </c>
      <c r="L68" s="6">
        <v>19590.666666666668</v>
      </c>
      <c r="M68" s="6">
        <v>8</v>
      </c>
      <c r="N68" s="6">
        <v>2448.8333333333335</v>
      </c>
      <c r="O68" s="6"/>
      <c r="P68" s="6"/>
      <c r="Y68" s="29"/>
      <c r="Z68" s="29"/>
      <c r="AA68" s="29"/>
      <c r="AB68" s="29"/>
      <c r="AC68" s="29"/>
      <c r="AD68" s="29"/>
      <c r="AE68" s="29"/>
      <c r="AI68" s="29" t="s">
        <v>41</v>
      </c>
      <c r="AJ68" s="29" t="s">
        <v>92</v>
      </c>
      <c r="AK68" s="29" t="s">
        <v>93</v>
      </c>
      <c r="AL68" s="29" t="s">
        <v>94</v>
      </c>
      <c r="AM68" s="29" t="s">
        <v>55</v>
      </c>
      <c r="AN68" s="29"/>
      <c r="AO68" s="29"/>
    </row>
    <row r="69" spans="1:41" ht="15.75" thickBot="1" x14ac:dyDescent="0.3">
      <c r="K69" s="6"/>
      <c r="L69" s="6"/>
      <c r="M69" s="6"/>
      <c r="N69" s="6"/>
      <c r="O69" s="6"/>
      <c r="P69" s="6"/>
      <c r="Y69" s="16" t="s">
        <v>41</v>
      </c>
      <c r="Z69" s="16" t="s">
        <v>39</v>
      </c>
      <c r="AA69" s="16" t="s">
        <v>38</v>
      </c>
      <c r="AB69" s="16" t="s">
        <v>43</v>
      </c>
      <c r="AC69" s="16" t="s">
        <v>44</v>
      </c>
      <c r="AD69" s="30"/>
      <c r="AE69" s="30"/>
      <c r="AI69" s="4" t="s">
        <v>95</v>
      </c>
      <c r="AJ69" s="4"/>
      <c r="AK69" s="4"/>
      <c r="AL69" s="4"/>
      <c r="AM69" s="4"/>
      <c r="AN69" s="29"/>
      <c r="AO69" s="29"/>
    </row>
    <row r="70" spans="1:41" ht="15.75" thickBot="1" x14ac:dyDescent="0.3">
      <c r="K70" s="1" t="s">
        <v>55</v>
      </c>
      <c r="L70" s="1">
        <v>30998.916666666668</v>
      </c>
      <c r="M70" s="1">
        <v>11</v>
      </c>
      <c r="N70" s="1"/>
      <c r="O70" s="1"/>
      <c r="P70" s="1"/>
      <c r="Y70" s="3" t="s">
        <v>95</v>
      </c>
      <c r="Z70" s="3">
        <v>3</v>
      </c>
      <c r="AA70" s="3">
        <v>253</v>
      </c>
      <c r="AB70" s="3">
        <v>84.333333333333329</v>
      </c>
      <c r="AC70" s="3">
        <v>16.333333333333332</v>
      </c>
      <c r="AD70" s="30"/>
      <c r="AE70" s="30"/>
      <c r="AI70" s="6" t="s">
        <v>39</v>
      </c>
      <c r="AJ70" s="6">
        <v>3</v>
      </c>
      <c r="AK70" s="6">
        <v>3</v>
      </c>
      <c r="AL70" s="6">
        <v>3</v>
      </c>
      <c r="AM70" s="6">
        <v>9</v>
      </c>
      <c r="AN70" s="29"/>
      <c r="AO70" s="29"/>
    </row>
    <row r="71" spans="1:41" x14ac:dyDescent="0.25">
      <c r="Y71" s="3" t="s">
        <v>96</v>
      </c>
      <c r="Z71" s="3">
        <v>3</v>
      </c>
      <c r="AA71" s="3">
        <v>233</v>
      </c>
      <c r="AB71" s="3">
        <v>77.666666666666671</v>
      </c>
      <c r="AC71" s="3">
        <v>6.3333333333333339</v>
      </c>
      <c r="AD71" s="30"/>
      <c r="AE71" s="30"/>
      <c r="AI71" s="6" t="s">
        <v>38</v>
      </c>
      <c r="AJ71" s="6">
        <v>245</v>
      </c>
      <c r="AK71" s="6">
        <v>255</v>
      </c>
      <c r="AL71" s="6">
        <v>263</v>
      </c>
      <c r="AM71" s="6">
        <v>763</v>
      </c>
      <c r="AN71" s="29"/>
      <c r="AO71" s="29"/>
    </row>
    <row r="72" spans="1:41" x14ac:dyDescent="0.25">
      <c r="Y72" s="3" t="s">
        <v>97</v>
      </c>
      <c r="Z72" s="3">
        <v>3</v>
      </c>
      <c r="AA72" s="3">
        <v>277</v>
      </c>
      <c r="AB72" s="3">
        <v>92.333333333333329</v>
      </c>
      <c r="AC72" s="3">
        <v>6.3333333333333339</v>
      </c>
      <c r="AD72" s="30"/>
      <c r="AE72" s="30"/>
      <c r="AI72" s="6" t="s">
        <v>43</v>
      </c>
      <c r="AJ72" s="6">
        <v>81.666666666666671</v>
      </c>
      <c r="AK72" s="6">
        <v>85</v>
      </c>
      <c r="AL72" s="6">
        <v>87.666666666666671</v>
      </c>
      <c r="AM72" s="6">
        <v>84.777777777777771</v>
      </c>
      <c r="AN72" s="29"/>
      <c r="AO72" s="29"/>
    </row>
    <row r="73" spans="1:41" x14ac:dyDescent="0.25">
      <c r="Y73" s="3"/>
      <c r="Z73" s="3"/>
      <c r="AA73" s="3"/>
      <c r="AB73" s="3"/>
      <c r="AC73" s="3"/>
      <c r="AD73" s="30"/>
      <c r="AE73" s="30"/>
      <c r="AI73" s="6" t="s">
        <v>44</v>
      </c>
      <c r="AJ73" s="6">
        <v>58.333333333333336</v>
      </c>
      <c r="AK73" s="6">
        <v>49</v>
      </c>
      <c r="AL73" s="6">
        <v>56.333333333333329</v>
      </c>
      <c r="AM73" s="6">
        <v>47.694444444444443</v>
      </c>
      <c r="AN73" s="29"/>
      <c r="AO73" s="29"/>
    </row>
    <row r="74" spans="1:41" x14ac:dyDescent="0.25">
      <c r="Y74" s="3" t="s">
        <v>92</v>
      </c>
      <c r="Z74" s="3">
        <v>3</v>
      </c>
      <c r="AA74" s="3">
        <v>245</v>
      </c>
      <c r="AB74" s="3">
        <v>81.666666666666671</v>
      </c>
      <c r="AC74" s="3">
        <v>58.333333333333336</v>
      </c>
      <c r="AD74" s="30"/>
      <c r="AE74" s="30"/>
      <c r="AI74" s="6"/>
      <c r="AJ74" s="6"/>
      <c r="AK74" s="6"/>
      <c r="AL74" s="6"/>
      <c r="AM74" s="6"/>
      <c r="AN74" s="29"/>
      <c r="AO74" s="29"/>
    </row>
    <row r="75" spans="1:41" ht="15.75" thickBot="1" x14ac:dyDescent="0.3">
      <c r="Y75" s="3" t="s">
        <v>93</v>
      </c>
      <c r="Z75" s="3">
        <v>3</v>
      </c>
      <c r="AA75" s="3">
        <v>255</v>
      </c>
      <c r="AB75" s="3">
        <v>85</v>
      </c>
      <c r="AC75" s="3">
        <v>49</v>
      </c>
      <c r="AD75" s="30"/>
      <c r="AE75" s="30"/>
      <c r="AI75" s="4" t="s">
        <v>55</v>
      </c>
      <c r="AJ75" s="4"/>
      <c r="AK75" s="4"/>
      <c r="AL75" s="29"/>
      <c r="AM75" s="29"/>
      <c r="AN75" s="29"/>
      <c r="AO75" s="29"/>
    </row>
    <row r="76" spans="1:41" x14ac:dyDescent="0.25">
      <c r="R76" s="29"/>
      <c r="S76" s="29"/>
      <c r="T76" s="29"/>
      <c r="U76" s="29"/>
      <c r="V76" s="29"/>
      <c r="W76" s="29"/>
      <c r="Y76" s="3" t="s">
        <v>94</v>
      </c>
      <c r="Z76" s="3">
        <v>3</v>
      </c>
      <c r="AA76" s="3">
        <v>263</v>
      </c>
      <c r="AB76" s="3">
        <v>87.666666666666671</v>
      </c>
      <c r="AC76" s="3">
        <v>56.333333333333329</v>
      </c>
      <c r="AD76" s="30"/>
      <c r="AE76" s="30"/>
      <c r="AI76" s="6" t="s">
        <v>39</v>
      </c>
      <c r="AJ76" s="6">
        <v>3</v>
      </c>
      <c r="AK76" s="6">
        <v>3</v>
      </c>
      <c r="AL76" s="29">
        <v>3</v>
      </c>
      <c r="AM76" s="29"/>
      <c r="AN76" s="29"/>
      <c r="AO76" s="29"/>
    </row>
    <row r="77" spans="1:41" ht="15.75" thickBot="1" x14ac:dyDescent="0.3">
      <c r="R77" s="29"/>
      <c r="S77" s="29"/>
      <c r="T77" s="29"/>
      <c r="U77" s="29"/>
      <c r="V77" s="29"/>
      <c r="W77" s="29"/>
      <c r="Y77" s="30"/>
      <c r="Z77" s="30"/>
      <c r="AA77" s="30"/>
      <c r="AB77" s="30"/>
      <c r="AC77" s="30"/>
      <c r="AD77" s="30"/>
      <c r="AE77" s="30"/>
      <c r="AI77" s="6" t="s">
        <v>38</v>
      </c>
      <c r="AJ77" s="6">
        <v>245</v>
      </c>
      <c r="AK77" s="6">
        <v>255</v>
      </c>
      <c r="AL77" s="29">
        <v>263</v>
      </c>
      <c r="AM77" s="29"/>
      <c r="AN77" s="29"/>
      <c r="AO77" s="29"/>
    </row>
    <row r="78" spans="1:41" x14ac:dyDescent="0.25">
      <c r="R78" s="5" t="s">
        <v>39</v>
      </c>
      <c r="S78" s="5" t="s">
        <v>38</v>
      </c>
      <c r="T78" s="5" t="s">
        <v>43</v>
      </c>
      <c r="U78" s="5" t="s">
        <v>44</v>
      </c>
      <c r="V78" s="29"/>
      <c r="W78" s="29"/>
      <c r="Y78" s="30"/>
      <c r="Z78" s="30"/>
      <c r="AA78" s="30"/>
      <c r="AB78" s="30"/>
      <c r="AC78" s="30"/>
      <c r="AD78" s="30"/>
      <c r="AE78" s="30"/>
      <c r="AI78" s="6" t="s">
        <v>43</v>
      </c>
      <c r="AJ78" s="6">
        <v>81.666666666666671</v>
      </c>
      <c r="AK78" s="6">
        <v>85</v>
      </c>
      <c r="AL78" s="29">
        <v>87.666666666666671</v>
      </c>
      <c r="AM78" s="29"/>
      <c r="AN78" s="29"/>
      <c r="AO78" s="29"/>
    </row>
    <row r="79" spans="1:41" x14ac:dyDescent="0.25">
      <c r="R79" s="6">
        <v>2</v>
      </c>
      <c r="S79" s="6">
        <v>110</v>
      </c>
      <c r="T79" s="6">
        <v>55</v>
      </c>
      <c r="U79" s="6">
        <v>2048</v>
      </c>
      <c r="V79" s="29"/>
      <c r="W79" s="29"/>
      <c r="Y79" s="30" t="s">
        <v>45</v>
      </c>
      <c r="Z79" s="30"/>
      <c r="AA79" s="30"/>
      <c r="AB79" s="30"/>
      <c r="AC79" s="30"/>
      <c r="AD79" s="30"/>
      <c r="AE79" s="30"/>
      <c r="AI79" s="6" t="s">
        <v>44</v>
      </c>
      <c r="AJ79" s="6">
        <v>58.333333333333336</v>
      </c>
      <c r="AK79" s="6">
        <v>49</v>
      </c>
      <c r="AL79" s="29">
        <v>56.333333333333329</v>
      </c>
      <c r="AM79" s="29"/>
      <c r="AN79" s="29"/>
      <c r="AO79" s="29"/>
    </row>
    <row r="80" spans="1:41" x14ac:dyDescent="0.25">
      <c r="R80" s="6">
        <v>2</v>
      </c>
      <c r="S80" s="6">
        <v>99</v>
      </c>
      <c r="T80" s="6">
        <v>49.5</v>
      </c>
      <c r="U80" s="6">
        <v>40.5</v>
      </c>
      <c r="V80" s="29"/>
      <c r="W80" s="29"/>
      <c r="Y80" s="16" t="s">
        <v>46</v>
      </c>
      <c r="Z80" s="16" t="s">
        <v>47</v>
      </c>
      <c r="AA80" s="16" t="s">
        <v>48</v>
      </c>
      <c r="AB80" s="16" t="s">
        <v>49</v>
      </c>
      <c r="AC80" s="16" t="s">
        <v>50</v>
      </c>
      <c r="AD80" s="16" t="s">
        <v>51</v>
      </c>
      <c r="AE80" s="16" t="s">
        <v>52</v>
      </c>
      <c r="AI80" s="6"/>
      <c r="AJ80" s="6"/>
      <c r="AK80" s="6"/>
      <c r="AL80" s="29"/>
      <c r="AM80" s="29"/>
      <c r="AN80" s="29"/>
      <c r="AO80" s="29"/>
    </row>
    <row r="81" spans="18:41" x14ac:dyDescent="0.25">
      <c r="R81" s="6">
        <v>2</v>
      </c>
      <c r="S81" s="6">
        <v>132</v>
      </c>
      <c r="T81" s="6">
        <v>66</v>
      </c>
      <c r="U81" s="6">
        <v>200</v>
      </c>
      <c r="V81" s="29"/>
      <c r="W81" s="29"/>
      <c r="Y81" s="3" t="s">
        <v>62</v>
      </c>
      <c r="Z81" s="3">
        <v>323.55555555555554</v>
      </c>
      <c r="AA81" s="3">
        <v>2</v>
      </c>
      <c r="AB81" s="3">
        <v>161.77777777777777</v>
      </c>
      <c r="AC81" s="3">
        <v>171.29411764705654</v>
      </c>
      <c r="AD81" s="3">
        <v>1.3319635770181793E-4</v>
      </c>
      <c r="AE81" s="3">
        <v>6.9442719099991574</v>
      </c>
      <c r="AI81" s="29"/>
      <c r="AJ81" s="29"/>
      <c r="AK81" s="29"/>
      <c r="AL81" s="29"/>
      <c r="AM81" s="29"/>
      <c r="AN81" s="29"/>
      <c r="AO81" s="29"/>
    </row>
    <row r="82" spans="18:41" ht="15.75" thickBot="1" x14ac:dyDescent="0.3">
      <c r="R82" s="6">
        <v>2</v>
      </c>
      <c r="S82" s="6">
        <v>277</v>
      </c>
      <c r="T82" s="6">
        <v>138.5</v>
      </c>
      <c r="U82" s="6">
        <v>18240.5</v>
      </c>
      <c r="V82" s="29"/>
      <c r="W82" s="29"/>
      <c r="Y82" s="3" t="s">
        <v>58</v>
      </c>
      <c r="Z82" s="3">
        <v>54.222222222222172</v>
      </c>
      <c r="AA82" s="3">
        <v>2</v>
      </c>
      <c r="AB82" s="3">
        <v>27.111111111111086</v>
      </c>
      <c r="AC82" s="3">
        <v>28.705882352940765</v>
      </c>
      <c r="AD82" s="3">
        <v>4.2424509328989274E-3</v>
      </c>
      <c r="AE82" s="3">
        <v>6.9442719099991574</v>
      </c>
      <c r="AI82" s="29" t="s">
        <v>45</v>
      </c>
      <c r="AJ82" s="29"/>
      <c r="AK82" s="29"/>
      <c r="AL82" s="29"/>
      <c r="AM82" s="29"/>
      <c r="AN82" s="29"/>
      <c r="AO82" s="29"/>
    </row>
    <row r="83" spans="18:41" x14ac:dyDescent="0.25">
      <c r="R83" s="6">
        <v>2</v>
      </c>
      <c r="S83" s="6">
        <v>143</v>
      </c>
      <c r="T83" s="6">
        <v>71.5</v>
      </c>
      <c r="U83" s="6">
        <v>40.5</v>
      </c>
      <c r="V83" s="29"/>
      <c r="W83" s="29"/>
      <c r="Y83" s="3" t="s">
        <v>63</v>
      </c>
      <c r="Z83" s="3">
        <v>3.7777777777778283</v>
      </c>
      <c r="AA83" s="3">
        <v>4</v>
      </c>
      <c r="AB83" s="3">
        <v>0.94444444444445708</v>
      </c>
      <c r="AC83" s="3"/>
      <c r="AD83" s="3"/>
      <c r="AE83" s="3"/>
      <c r="AI83" s="5" t="s">
        <v>46</v>
      </c>
      <c r="AJ83" s="5" t="s">
        <v>47</v>
      </c>
      <c r="AK83" s="5" t="s">
        <v>48</v>
      </c>
      <c r="AL83" s="5" t="s">
        <v>49</v>
      </c>
      <c r="AM83" s="5" t="s">
        <v>50</v>
      </c>
      <c r="AN83" s="5" t="s">
        <v>51</v>
      </c>
      <c r="AO83" s="5" t="s">
        <v>52</v>
      </c>
    </row>
    <row r="84" spans="18:41" x14ac:dyDescent="0.25">
      <c r="R84" s="6">
        <v>2</v>
      </c>
      <c r="S84" s="6">
        <v>164</v>
      </c>
      <c r="T84" s="6">
        <v>82</v>
      </c>
      <c r="U84" s="6">
        <v>32</v>
      </c>
      <c r="V84" s="29"/>
      <c r="W84" s="29"/>
      <c r="Y84" s="3"/>
      <c r="Z84" s="3"/>
      <c r="AA84" s="3"/>
      <c r="AB84" s="3"/>
      <c r="AC84" s="3"/>
      <c r="AD84" s="3"/>
      <c r="AE84" s="3"/>
      <c r="AI84" s="6" t="s">
        <v>57</v>
      </c>
      <c r="AJ84" s="6">
        <v>0</v>
      </c>
      <c r="AK84" s="6">
        <v>0</v>
      </c>
      <c r="AL84" s="6">
        <v>65535</v>
      </c>
      <c r="AM84" s="6">
        <v>65535</v>
      </c>
      <c r="AN84" s="6" t="e">
        <v>#NUM!</v>
      </c>
      <c r="AO84" s="6" t="e">
        <v>#NUM!</v>
      </c>
    </row>
    <row r="85" spans="18:41" x14ac:dyDescent="0.25">
      <c r="R85" s="6"/>
      <c r="S85" s="6"/>
      <c r="T85" s="6"/>
      <c r="U85" s="6"/>
      <c r="V85" s="29"/>
      <c r="W85" s="29"/>
      <c r="Y85" s="3" t="s">
        <v>55</v>
      </c>
      <c r="Z85" s="3">
        <v>381.55555555555554</v>
      </c>
      <c r="AA85" s="3">
        <v>8</v>
      </c>
      <c r="AB85" s="3"/>
      <c r="AC85" s="3"/>
      <c r="AD85" s="3"/>
      <c r="AE85" s="3"/>
      <c r="AI85" s="6" t="s">
        <v>58</v>
      </c>
      <c r="AJ85" s="6">
        <v>54.222222222222172</v>
      </c>
      <c r="AK85" s="6">
        <v>2</v>
      </c>
      <c r="AL85" s="6">
        <v>27.111111111111086</v>
      </c>
      <c r="AM85" s="6">
        <v>0.49694501018329884</v>
      </c>
      <c r="AN85" s="6">
        <v>0.63138949962352586</v>
      </c>
      <c r="AO85" s="6">
        <v>5.1432528497847176</v>
      </c>
    </row>
    <row r="86" spans="18:41" x14ac:dyDescent="0.25">
      <c r="R86" s="6">
        <v>6</v>
      </c>
      <c r="S86" s="6">
        <v>503</v>
      </c>
      <c r="T86" s="6">
        <v>83.833333333333329</v>
      </c>
      <c r="U86" s="6">
        <v>5770.166666666667</v>
      </c>
      <c r="V86" s="29"/>
      <c r="W86" s="29"/>
      <c r="AI86" s="6" t="s">
        <v>59</v>
      </c>
      <c r="AJ86" s="6">
        <v>0</v>
      </c>
      <c r="AK86" s="6">
        <v>0</v>
      </c>
      <c r="AL86" s="6">
        <v>65535</v>
      </c>
      <c r="AM86" s="6">
        <v>65535</v>
      </c>
      <c r="AN86" s="6" t="e">
        <v>#NUM!</v>
      </c>
      <c r="AO86" s="6" t="e">
        <v>#NUM!</v>
      </c>
    </row>
    <row r="87" spans="18:41" ht="15.75" thickBot="1" x14ac:dyDescent="0.3">
      <c r="R87" s="1">
        <v>6</v>
      </c>
      <c r="S87" s="1">
        <v>422</v>
      </c>
      <c r="T87" s="1">
        <v>70.333333333333329</v>
      </c>
      <c r="U87" s="1">
        <v>320.26666666666642</v>
      </c>
      <c r="V87" s="29"/>
      <c r="W87" s="29"/>
      <c r="AI87" s="6" t="s">
        <v>60</v>
      </c>
      <c r="AJ87" s="6">
        <v>327.33333333333337</v>
      </c>
      <c r="AK87" s="6">
        <v>6</v>
      </c>
      <c r="AL87" s="6">
        <v>54.555555555555564</v>
      </c>
      <c r="AM87" s="6"/>
      <c r="AN87" s="6"/>
      <c r="AO87" s="6"/>
    </row>
    <row r="88" spans="18:41" x14ac:dyDescent="0.25">
      <c r="R88" s="29"/>
      <c r="S88" s="29"/>
      <c r="T88" s="29"/>
      <c r="U88" s="29"/>
      <c r="V88" s="29"/>
      <c r="W88" s="29"/>
      <c r="AI88" s="6"/>
      <c r="AJ88" s="6"/>
      <c r="AK88" s="6"/>
      <c r="AL88" s="6"/>
      <c r="AM88" s="6"/>
      <c r="AN88" s="6"/>
      <c r="AO88" s="6"/>
    </row>
    <row r="89" spans="18:41" ht="15.75" thickBot="1" x14ac:dyDescent="0.3">
      <c r="R89" s="29"/>
      <c r="S89" s="29"/>
      <c r="T89" s="29"/>
      <c r="U89" s="29"/>
      <c r="V89" s="29"/>
      <c r="W89" s="29"/>
      <c r="AI89" s="1" t="s">
        <v>55</v>
      </c>
      <c r="AJ89" s="1">
        <v>381.55555555555554</v>
      </c>
      <c r="AK89" s="1">
        <v>8</v>
      </c>
      <c r="AL89" s="1"/>
      <c r="AM89" s="1"/>
      <c r="AN89" s="1"/>
      <c r="AO89" s="1"/>
    </row>
    <row r="90" spans="18:41" ht="15.75" thickBot="1" x14ac:dyDescent="0.3">
      <c r="R90" s="29"/>
      <c r="S90" s="29"/>
      <c r="T90" s="29"/>
      <c r="U90" s="29"/>
      <c r="V90" s="29"/>
      <c r="W90" s="29"/>
    </row>
    <row r="91" spans="18:41" x14ac:dyDescent="0.25">
      <c r="R91" s="5" t="s">
        <v>47</v>
      </c>
      <c r="S91" s="5" t="s">
        <v>48</v>
      </c>
      <c r="T91" s="5" t="s">
        <v>49</v>
      </c>
      <c r="U91" s="5" t="s">
        <v>50</v>
      </c>
      <c r="V91" s="5" t="s">
        <v>51</v>
      </c>
      <c r="W91" s="5" t="s">
        <v>52</v>
      </c>
    </row>
    <row r="92" spans="18:41" x14ac:dyDescent="0.25">
      <c r="R92" s="6">
        <v>10397.416666666668</v>
      </c>
      <c r="S92" s="6">
        <v>5</v>
      </c>
      <c r="T92" s="6">
        <v>2079.4833333333336</v>
      </c>
      <c r="U92" s="6">
        <v>0.51845157215456028</v>
      </c>
      <c r="V92" s="6">
        <v>0.75585959898225075</v>
      </c>
      <c r="W92" s="6">
        <v>5.0503290576326485</v>
      </c>
    </row>
    <row r="93" spans="18:41" x14ac:dyDescent="0.25">
      <c r="R93" s="6">
        <v>546.75</v>
      </c>
      <c r="S93" s="6">
        <v>1</v>
      </c>
      <c r="T93" s="6">
        <v>546.75</v>
      </c>
      <c r="U93" s="6">
        <v>0.13631433949563071</v>
      </c>
      <c r="V93" s="6">
        <v>0.72709239798145531</v>
      </c>
      <c r="W93" s="6">
        <v>6.607890973703368</v>
      </c>
    </row>
    <row r="94" spans="18:41" x14ac:dyDescent="0.25">
      <c r="R94" s="6">
        <v>20054.75</v>
      </c>
      <c r="S94" s="6">
        <v>5</v>
      </c>
      <c r="T94" s="6">
        <v>4010.95</v>
      </c>
      <c r="U94" s="6"/>
      <c r="V94" s="6"/>
      <c r="W94" s="6"/>
    </row>
    <row r="95" spans="18:41" x14ac:dyDescent="0.25">
      <c r="R95" s="6"/>
      <c r="S95" s="6"/>
      <c r="T95" s="6"/>
      <c r="U95" s="6"/>
      <c r="V95" s="6"/>
      <c r="W95" s="6"/>
    </row>
    <row r="96" spans="18:41" ht="15.75" thickBot="1" x14ac:dyDescent="0.3">
      <c r="R96" s="1">
        <v>30998.916666666668</v>
      </c>
      <c r="S96" s="1">
        <v>11</v>
      </c>
      <c r="T96" s="1"/>
      <c r="U96" s="1"/>
      <c r="V96" s="1"/>
      <c r="W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Sheet19</vt:lpstr>
      <vt:lpstr>Sheet20</vt:lpstr>
      <vt:lpstr>Sheet21</vt:lpstr>
      <vt:lpstr>Sheet22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2026-06-05T04:19:51Z</dcterms:created>
  <dcterms:modified xsi:type="dcterms:W3CDTF">2026-06-05T07:28:32Z</dcterms:modified>
</cp:coreProperties>
</file>